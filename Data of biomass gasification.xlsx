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ing\FPEL\"/>
    </mc:Choice>
  </mc:AlternateContent>
  <xr:revisionPtr revIDLastSave="0" documentId="13_ncr:1_{71343F50-F5FE-4EBD-B27B-1AC62DE5F21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ull data" sheetId="3" r:id="rId1"/>
    <sheet name="data of %" sheetId="1" r:id="rId2"/>
    <sheet name="data of G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1" i="1" l="1"/>
  <c r="D251" i="1"/>
  <c r="C251" i="1"/>
  <c r="B251" i="1"/>
  <c r="F250" i="1"/>
  <c r="D250" i="1"/>
  <c r="C250" i="1"/>
  <c r="B250" i="1"/>
  <c r="F249" i="1"/>
  <c r="D249" i="1"/>
  <c r="C249" i="1"/>
  <c r="B249" i="1"/>
  <c r="F248" i="1"/>
  <c r="D248" i="1"/>
  <c r="C248" i="1"/>
  <c r="B248" i="1"/>
  <c r="F247" i="1"/>
  <c r="D247" i="1"/>
  <c r="C247" i="1"/>
  <c r="B247" i="1"/>
  <c r="F246" i="1"/>
  <c r="D246" i="1"/>
  <c r="C246" i="1"/>
  <c r="B246" i="1"/>
  <c r="F245" i="1"/>
  <c r="D245" i="1"/>
  <c r="C245" i="1"/>
  <c r="B245" i="1"/>
  <c r="F244" i="1"/>
  <c r="D244" i="1"/>
  <c r="C244" i="1"/>
  <c r="B244" i="1"/>
  <c r="F243" i="1"/>
  <c r="D243" i="1"/>
  <c r="C243" i="1"/>
  <c r="B243" i="1"/>
  <c r="F242" i="1"/>
  <c r="D242" i="1"/>
  <c r="C242" i="1"/>
  <c r="B242" i="1"/>
  <c r="F241" i="1"/>
  <c r="D241" i="1"/>
  <c r="C241" i="1"/>
  <c r="B241" i="1"/>
  <c r="D224" i="1"/>
  <c r="D223" i="1"/>
  <c r="D222" i="1"/>
  <c r="D221" i="1"/>
  <c r="D220" i="1"/>
  <c r="D219" i="1"/>
  <c r="D218" i="1"/>
  <c r="D217" i="1"/>
  <c r="D216" i="1"/>
  <c r="D215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F254" i="3"/>
  <c r="D254" i="3"/>
  <c r="C254" i="3"/>
  <c r="B254" i="3"/>
  <c r="F253" i="3"/>
  <c r="D253" i="3"/>
  <c r="C253" i="3"/>
  <c r="B253" i="3"/>
  <c r="F252" i="3"/>
  <c r="D252" i="3"/>
  <c r="C252" i="3"/>
  <c r="B252" i="3"/>
  <c r="F251" i="3"/>
  <c r="D251" i="3"/>
  <c r="C251" i="3"/>
  <c r="B251" i="3"/>
  <c r="F250" i="3"/>
  <c r="D250" i="3"/>
  <c r="C250" i="3"/>
  <c r="B250" i="3"/>
  <c r="F249" i="3"/>
  <c r="D249" i="3"/>
  <c r="C249" i="3"/>
  <c r="B249" i="3"/>
  <c r="F248" i="3"/>
  <c r="D248" i="3"/>
  <c r="C248" i="3"/>
  <c r="B248" i="3"/>
  <c r="F247" i="3"/>
  <c r="D247" i="3"/>
  <c r="C247" i="3"/>
  <c r="B247" i="3"/>
  <c r="F246" i="3"/>
  <c r="D246" i="3"/>
  <c r="C246" i="3"/>
  <c r="B246" i="3"/>
  <c r="F245" i="3"/>
  <c r="D245" i="3"/>
  <c r="C245" i="3"/>
  <c r="B245" i="3"/>
  <c r="F244" i="3"/>
  <c r="D244" i="3"/>
  <c r="C244" i="3"/>
  <c r="B244" i="3"/>
  <c r="D227" i="3"/>
  <c r="D226" i="3"/>
  <c r="D225" i="3"/>
  <c r="D224" i="3"/>
  <c r="D223" i="3"/>
  <c r="D222" i="3"/>
  <c r="D221" i="3"/>
  <c r="D220" i="3"/>
  <c r="D219" i="3"/>
  <c r="D21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F204" i="2"/>
  <c r="D204" i="2"/>
  <c r="C204" i="2"/>
  <c r="B204" i="2"/>
  <c r="F203" i="2"/>
  <c r="D203" i="2"/>
  <c r="C203" i="2"/>
  <c r="B203" i="2"/>
  <c r="F202" i="2"/>
  <c r="D202" i="2"/>
  <c r="C202" i="2"/>
  <c r="B202" i="2"/>
  <c r="F201" i="2"/>
  <c r="D201" i="2"/>
  <c r="C201" i="2"/>
  <c r="B201" i="2"/>
  <c r="F200" i="2"/>
  <c r="D200" i="2"/>
  <c r="C200" i="2"/>
  <c r="B200" i="2"/>
  <c r="D189" i="2"/>
  <c r="D188" i="2"/>
  <c r="D187" i="2"/>
  <c r="D186" i="2"/>
  <c r="D185" i="2"/>
  <c r="D184" i="2"/>
  <c r="D183" i="2"/>
  <c r="D182" i="2"/>
  <c r="D181" i="2"/>
  <c r="D180" i="2"/>
</calcChain>
</file>

<file path=xl/sharedStrings.xml><?xml version="1.0" encoding="utf-8"?>
<sst xmlns="http://schemas.openxmlformats.org/spreadsheetml/2006/main" count="1585" uniqueCount="116">
  <si>
    <t>Bed materials</t>
  </si>
  <si>
    <t>2: Offite</t>
  </si>
  <si>
    <t>3: Olivine</t>
  </si>
  <si>
    <t>4: Alumina</t>
  </si>
  <si>
    <t>INPUTS</t>
  </si>
  <si>
    <t>OUTPUTS</t>
  </si>
  <si>
    <t>run</t>
  </si>
  <si>
    <r>
      <rPr>
        <b/>
        <sz val="10"/>
        <color theme="7"/>
        <rFont val="Arial"/>
        <family val="2"/>
      </rPr>
      <t>(x4)</t>
    </r>
    <r>
      <rPr>
        <b/>
        <sz val="10"/>
        <rFont val="Arial"/>
        <family val="2"/>
      </rPr>
      <t>C [%wt db]</t>
    </r>
    <phoneticPr fontId="1" type="noConversion"/>
  </si>
  <si>
    <r>
      <rPr>
        <b/>
        <sz val="10"/>
        <color theme="7"/>
        <rFont val="Arial"/>
        <family val="2"/>
      </rPr>
      <t>(x5)</t>
    </r>
    <r>
      <rPr>
        <b/>
        <sz val="10"/>
        <rFont val="Arial"/>
        <family val="2"/>
      </rPr>
      <t>H [%wt db]</t>
    </r>
    <phoneticPr fontId="1" type="noConversion"/>
  </si>
  <si>
    <r>
      <rPr>
        <b/>
        <sz val="10"/>
        <color theme="7"/>
        <rFont val="Arial"/>
        <family val="2"/>
      </rPr>
      <t>(x6)</t>
    </r>
    <r>
      <rPr>
        <b/>
        <sz val="10"/>
        <rFont val="Arial"/>
        <family val="2"/>
      </rPr>
      <t>O [%wt db]</t>
    </r>
    <phoneticPr fontId="1" type="noConversion"/>
  </si>
  <si>
    <r>
      <rPr>
        <b/>
        <sz val="10"/>
        <color theme="7"/>
        <rFont val="Arial"/>
        <family val="2"/>
      </rPr>
      <t>(x8)</t>
    </r>
    <r>
      <rPr>
        <b/>
        <sz val="10"/>
        <rFont val="Arial"/>
        <family val="2"/>
      </rPr>
      <t>Moisture [%wt]</t>
    </r>
    <phoneticPr fontId="1" type="noConversion"/>
  </si>
  <si>
    <r>
      <rPr>
        <b/>
        <sz val="10"/>
        <color theme="7"/>
        <rFont val="Arial"/>
        <family val="2"/>
      </rPr>
      <t>(x7)</t>
    </r>
    <r>
      <rPr>
        <b/>
        <sz val="10"/>
        <rFont val="Arial"/>
        <family val="2"/>
      </rPr>
      <t>Ash [%wt db]</t>
    </r>
    <phoneticPr fontId="1" type="noConversion"/>
  </si>
  <si>
    <r>
      <rPr>
        <b/>
        <sz val="10"/>
        <color theme="7"/>
        <rFont val="Arial"/>
        <family val="2"/>
      </rPr>
      <t>(x2)</t>
    </r>
    <r>
      <rPr>
        <b/>
        <sz val="10"/>
        <rFont val="Arial"/>
        <family val="2"/>
      </rPr>
      <t>ER [-]</t>
    </r>
    <phoneticPr fontId="1" type="noConversion"/>
  </si>
  <si>
    <r>
      <rPr>
        <b/>
        <sz val="10"/>
        <color theme="7"/>
        <rFont val="Arial"/>
        <family val="2"/>
      </rPr>
      <t>(x1)</t>
    </r>
    <r>
      <rPr>
        <b/>
        <sz val="10"/>
        <rFont val="Arial"/>
        <family val="2"/>
      </rPr>
      <t>T [ºC]</t>
    </r>
    <phoneticPr fontId="1" type="noConversion"/>
  </si>
  <si>
    <t>Bed material</t>
  </si>
  <si>
    <r>
      <rPr>
        <b/>
        <sz val="10"/>
        <color theme="7"/>
        <rFont val="Arial"/>
        <family val="2"/>
      </rPr>
      <t>(x3)</t>
    </r>
    <r>
      <rPr>
        <b/>
        <sz val="10"/>
        <rFont val="Arial"/>
        <family val="2"/>
      </rPr>
      <t>Steam/Biomass</t>
    </r>
    <phoneticPr fontId="1" type="noConversion"/>
  </si>
  <si>
    <t>H2 [%vol N2 free]</t>
  </si>
  <si>
    <t>CO [%vol N2 free]</t>
  </si>
  <si>
    <t>CO2 [%vol N2 free]</t>
  </si>
  <si>
    <t>CH4 [%vol N2 free]</t>
  </si>
  <si>
    <t>GY [Nm3/kg daf]</t>
  </si>
  <si>
    <t>Biomass feedstock</t>
  </si>
  <si>
    <t>Reference</t>
  </si>
  <si>
    <t>Pine sawdust</t>
  </si>
  <si>
    <t>Narváez, Ind. Eng. Chem. Res. 1996, 35, 2110-2120</t>
  </si>
  <si>
    <t>Rubber woodchip</t>
  </si>
  <si>
    <t>Kaewluan, Energy Convers Manage 2011, 52, 75-84</t>
  </si>
  <si>
    <t>Lv, Bioresource Technology 2004, 95, 95-101</t>
  </si>
  <si>
    <t>Wood pellets</t>
  </si>
  <si>
    <t>Campoy 2009, PhD thesis, Chapter 3</t>
  </si>
  <si>
    <t>Meat and bone-meal</t>
  </si>
  <si>
    <t>Olive oil waste (orujillo)</t>
  </si>
  <si>
    <t>Poultry litter</t>
  </si>
  <si>
    <t>Pandey, Energy &amp; Fuels 2016, 30, 3085-3096</t>
  </si>
  <si>
    <t>Rice husk</t>
  </si>
  <si>
    <t>Loha, J Renew and Sust Energy 2013, 5, 043111</t>
  </si>
  <si>
    <t>Municipal solid waste (solid recovered fuel from MSW)</t>
  </si>
  <si>
    <t>Arena, Fuel 2014, 117, 528-536</t>
  </si>
  <si>
    <t>Empty fruit bunch</t>
  </si>
  <si>
    <t>P. Lahijani, Z.A. Zainal, Bioresource Technology 102 (2011) 2068-2076</t>
  </si>
  <si>
    <t>Sawdust</t>
  </si>
  <si>
    <t>Polyethylene (recycled)</t>
  </si>
  <si>
    <t>Arena, Waste Management 2010, 30, 1212-1219</t>
  </si>
  <si>
    <t>Mixed polyolefin (from food packaging)</t>
  </si>
  <si>
    <t>Neolite (plastic mixture)</t>
  </si>
  <si>
    <t>Plasmix (plastic mixture)</t>
  </si>
  <si>
    <t>Multi-layer paper/plastic/aluminium</t>
  </si>
  <si>
    <t>Sewage sludge</t>
  </si>
  <si>
    <t>Roche, Fuel 2014, 115, 54-61</t>
  </si>
  <si>
    <t>de Andres, Fuel 2011, 90, 521-527</t>
  </si>
  <si>
    <t>de Andres, Fuel Processing Technology 2011, 92, 433-440</t>
  </si>
  <si>
    <t>Gómez-Barea, Energy &amp; Fuels 2005, 19, 598-605</t>
  </si>
  <si>
    <t>Mansaray, Biomass and Bioenergy 1999, 17, 315-332</t>
  </si>
  <si>
    <t>Birch wood</t>
  </si>
  <si>
    <t>Bariateri, Waste Biomass Valor 2010, 1, 283-291</t>
  </si>
  <si>
    <t>Energy crop (C. cardunculus L.)</t>
  </si>
  <si>
    <t>Serrano, Chem Eng J 2017, 317, 1037-1046</t>
  </si>
  <si>
    <t>Serrano, Fuel 2016, 173, 247-259</t>
  </si>
  <si>
    <t>Kaewluan, Fuel Processing Technology 2011, 92, 671-677</t>
  </si>
  <si>
    <t>Rubber woodchip (+10% rubber waste)</t>
  </si>
  <si>
    <t>Rubber woodchip (+20% rubber waste)</t>
  </si>
  <si>
    <t>Pine pellets</t>
  </si>
  <si>
    <t>Huynh, Fuel 2013, 103, 987-996</t>
  </si>
  <si>
    <t>Oak+maple pellets</t>
  </si>
  <si>
    <t>Seed corn</t>
  </si>
  <si>
    <t>Sunflower (pellets)</t>
  </si>
  <si>
    <t>Christodoulou, Fuel Processing Technology 2014, 124, 275-285</t>
  </si>
  <si>
    <t>Willow (pellets)</t>
  </si>
  <si>
    <t>Pine wood chips</t>
  </si>
  <si>
    <t>Lan, Journal of the Energy Institute 2019, 92, 613-620</t>
  </si>
  <si>
    <t>Spruce wood pellets</t>
  </si>
  <si>
    <t>Miccio, Chemical Engineering Journal 2009, 154, 369-374</t>
  </si>
  <si>
    <t>Katsaros, Waste Management, 2019, 100, 336-346</t>
  </si>
  <si>
    <t>Katsaros, Waste Management, 2019, 100, 336-348</t>
  </si>
  <si>
    <t>Katsaros, Waste Management, 2019, 100, 336-349</t>
  </si>
  <si>
    <t>Katsaros, Waste Management, 2019, 100, 336-350</t>
  </si>
  <si>
    <t>Beech wood</t>
  </si>
  <si>
    <t>G. Katsaros et al., Fuel 262 (2020) 116660</t>
  </si>
  <si>
    <t>Torrified woodchips</t>
  </si>
  <si>
    <t>N.M. Nguyen et al., Energy 202 (2020) 117744</t>
  </si>
  <si>
    <t>Wood residue</t>
  </si>
  <si>
    <t>S. Fremaux et al., Energy Conversion and Management 91 (2015) 427-432.</t>
  </si>
  <si>
    <t>pine wood</t>
  </si>
  <si>
    <t>T. Song et al., Biomass and Bioenergy 36 (2012) 258-267.</t>
  </si>
  <si>
    <t>Miscanthus x giganteus (torrefied)</t>
  </si>
  <si>
    <t>G.Xue et al., Bioresource Technology 159 (2014) 397-403</t>
  </si>
  <si>
    <t>From the data set of Binns M. Predicting biomass gasification products for bubbling fluidised beds using high order polynomial regression with regularisation: a simple but highly effective strategy. Bioresource Technology 2025;437:133109.</t>
    <phoneticPr fontId="1" type="noConversion"/>
  </si>
  <si>
    <t>Pine pellet</t>
  </si>
  <si>
    <t>Eucalyptus type A</t>
  </si>
  <si>
    <t>Eucalyptus type B</t>
  </si>
  <si>
    <t>Pine RFB</t>
  </si>
  <si>
    <t>woody biomass</t>
  </si>
  <si>
    <t>G.Xue et al., Bioresource Technology 159 (2014) 397-403</t>
    <phoneticPr fontId="1" type="noConversion"/>
  </si>
  <si>
    <t>M. Puig-Gamero et al.,Energy Conversion and Management 2021 Vol. 235</t>
    <phoneticPr fontId="1" type="noConversion"/>
  </si>
  <si>
    <t>M. Puig-Gamero et al.,Energy Conversion and Management 2021 Vol. 236</t>
  </si>
  <si>
    <t>M. Puig-Gamero et al.,Energy Conversion and Management 2021 Vol. 237</t>
  </si>
  <si>
    <t>M. Puig-Gamero et al.,Energy Conversion and Management 2021 Vol. 238</t>
  </si>
  <si>
    <t>M. Puig-Gamero et al.,Energy Conversion and Management 2021 Vol. 239</t>
  </si>
  <si>
    <t>M. Puig-Gamero et al.,Energy Conversion and Management 2021 Vol. 240</t>
  </si>
  <si>
    <t>M. Puig-Gamero et al.,Energy Conversion and Management 2021 Vol. 241</t>
  </si>
  <si>
    <t>M. Puig-Gamero et al.,Energy Conversion and Management 2021 Vol. 242</t>
  </si>
  <si>
    <t>M. Puig-Gamero et al.,Energy Conversion and Management 2021 Vol. 243</t>
  </si>
  <si>
    <t>M. Puig-Gamero et al.,Energy Conversion and Management 2021 Vol. 244</t>
  </si>
  <si>
    <t>M. Puig-Gamero et al.,Energy Conversion and Management 2021 Vol. 245</t>
  </si>
  <si>
    <t>M. Puig-Gamero et al.,Energy Conversion and Management 2021 Vol. 246</t>
  </si>
  <si>
    <t>M. Puig-Gamero et al.,Energy Conversion and Management 2021 Vol. 247</t>
  </si>
  <si>
    <t>M. Puig-Gamero et al.,Energy Conversion and Management 2021 Vol. 248</t>
  </si>
  <si>
    <t>M. Puig-Gamero et al.,Energy Conversion and Management 2021 Vol. 249</t>
  </si>
  <si>
    <t>M. Puig-Gamero et al.,Energy Conversion and Management 2021 Vol. 250</t>
  </si>
  <si>
    <t>M. Puig-Gamero et al.,Energy Conversion and Management 2021 Vol. 251</t>
    <phoneticPr fontId="1" type="noConversion"/>
  </si>
  <si>
    <t>Y. D. Kim et al.,Applied Energy 2013 Vol. 112 Pages 414-420</t>
    <phoneticPr fontId="1" type="noConversion"/>
  </si>
  <si>
    <t>Y. D. Kim et al.,Applied Energy 2013 Vol. 112 Pages 414-421</t>
  </si>
  <si>
    <t>Y. D. Kim et al.,Applied Energy 2013 Vol. 112 Pages 414-422</t>
  </si>
  <si>
    <t>Y. D. Kim et al.,Applied Energy 2013 Vol. 112 Pages 414-423</t>
  </si>
  <si>
    <t>GY [Nm3/kg daf]</t>
    <phoneticPr fontId="1" type="noConversion"/>
  </si>
  <si>
    <t>1: Silica sand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</si>
</sst>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  <font>
      <b/>
      <sz val="10"/>
      <color theme="7"/>
      <name val="Arial"/>
      <family val="2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 applyAlignment="1">
      <alignment horizontal="right"/>
    </xf>
    <xf numFmtId="2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7F8D-437D-466B-8444-6A42D5C1C07A}">
  <dimension ref="A1:Q284"/>
  <sheetViews>
    <sheetView tabSelected="1" zoomScale="68" zoomScaleNormal="130" workbookViewId="0">
      <selection activeCell="G264" sqref="G264"/>
    </sheetView>
  </sheetViews>
  <sheetFormatPr defaultRowHeight="14" x14ac:dyDescent="0.3"/>
  <cols>
    <col min="1" max="1" width="26.9140625" customWidth="1"/>
    <col min="2" max="2" width="13.5" customWidth="1"/>
    <col min="3" max="3" width="13.58203125" customWidth="1"/>
    <col min="4" max="4" width="15.4140625" customWidth="1"/>
    <col min="5" max="5" width="18.4140625" customWidth="1"/>
    <col min="6" max="6" width="18.33203125" customWidth="1"/>
    <col min="7" max="7" width="15.1640625" customWidth="1"/>
    <col min="9" max="9" width="8.6640625" customWidth="1"/>
    <col min="11" max="11" width="11.75" customWidth="1"/>
    <col min="15" max="15" width="8.6640625" customWidth="1"/>
    <col min="16" max="16" width="22.08203125" customWidth="1"/>
  </cols>
  <sheetData>
    <row r="1" spans="1:17" x14ac:dyDescent="0.3">
      <c r="B1" t="s">
        <v>86</v>
      </c>
    </row>
    <row r="2" spans="1:17" x14ac:dyDescent="0.3">
      <c r="I2" t="s">
        <v>0</v>
      </c>
      <c r="K2" t="s">
        <v>115</v>
      </c>
      <c r="L2" t="s">
        <v>1</v>
      </c>
      <c r="M2" t="s">
        <v>2</v>
      </c>
      <c r="N2" t="s">
        <v>3</v>
      </c>
    </row>
    <row r="3" spans="1:17" x14ac:dyDescent="0.3">
      <c r="B3" s="2"/>
      <c r="C3" s="2"/>
      <c r="D3" s="2"/>
      <c r="E3" s="2"/>
      <c r="F3" s="2" t="s">
        <v>4</v>
      </c>
      <c r="G3" s="2"/>
      <c r="H3" s="2"/>
      <c r="I3" s="2"/>
      <c r="J3" s="2"/>
      <c r="K3" s="3"/>
      <c r="L3" s="3"/>
      <c r="M3" s="3" t="s">
        <v>5</v>
      </c>
      <c r="N3" s="3"/>
      <c r="O3" s="3"/>
    </row>
    <row r="4" spans="1:17" x14ac:dyDescent="0.3">
      <c r="A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114</v>
      </c>
      <c r="P4" s="1" t="s">
        <v>21</v>
      </c>
      <c r="Q4" s="1" t="s">
        <v>22</v>
      </c>
    </row>
    <row r="5" spans="1:17" x14ac:dyDescent="0.3">
      <c r="A5">
        <v>1</v>
      </c>
      <c r="B5">
        <v>50</v>
      </c>
      <c r="C5" s="5">
        <v>5.7</v>
      </c>
      <c r="D5" s="5">
        <v>44.1</v>
      </c>
      <c r="E5" s="5">
        <v>23.5</v>
      </c>
      <c r="F5" s="5">
        <v>0.85</v>
      </c>
      <c r="G5" s="5">
        <v>0.32</v>
      </c>
      <c r="H5" s="5">
        <v>800</v>
      </c>
      <c r="I5" s="5">
        <v>1</v>
      </c>
      <c r="J5" s="5">
        <v>0</v>
      </c>
      <c r="K5" s="5">
        <v>18.087855297157621</v>
      </c>
      <c r="L5" s="5">
        <v>36.175710594315241</v>
      </c>
      <c r="M5" s="5">
        <v>34.883720930232556</v>
      </c>
      <c r="N5" s="5">
        <v>7.7519379844961236</v>
      </c>
      <c r="O5" s="5">
        <v>2.2999999999999998</v>
      </c>
      <c r="P5" t="s">
        <v>23</v>
      </c>
      <c r="Q5" t="s">
        <v>24</v>
      </c>
    </row>
    <row r="6" spans="1:17" x14ac:dyDescent="0.3">
      <c r="A6">
        <f>A5+1</f>
        <v>2</v>
      </c>
      <c r="B6">
        <v>50</v>
      </c>
      <c r="C6" s="5">
        <v>5.7</v>
      </c>
      <c r="D6" s="5">
        <v>44.1</v>
      </c>
      <c r="E6" s="5">
        <v>21</v>
      </c>
      <c r="F6" s="5">
        <v>0.85</v>
      </c>
      <c r="G6" s="5">
        <v>0.37</v>
      </c>
      <c r="H6" s="5">
        <v>800</v>
      </c>
      <c r="I6" s="5">
        <v>1</v>
      </c>
      <c r="J6" s="5">
        <v>0</v>
      </c>
      <c r="K6" s="5">
        <v>22.781774580335728</v>
      </c>
      <c r="L6" s="5">
        <v>31.175059952038367</v>
      </c>
      <c r="M6" s="5">
        <v>35.97122302158273</v>
      </c>
      <c r="N6" s="5">
        <v>6.4748201438848918</v>
      </c>
      <c r="O6" s="5">
        <v>2.5</v>
      </c>
      <c r="P6" t="s">
        <v>23</v>
      </c>
      <c r="Q6" t="s">
        <v>24</v>
      </c>
    </row>
    <row r="7" spans="1:17" x14ac:dyDescent="0.3">
      <c r="A7">
        <f t="shared" ref="A7:A70" si="0">A6+1</f>
        <v>3</v>
      </c>
      <c r="B7">
        <v>50</v>
      </c>
      <c r="C7" s="5">
        <v>5.7</v>
      </c>
      <c r="D7" s="5">
        <v>44.1</v>
      </c>
      <c r="E7" s="5">
        <v>23</v>
      </c>
      <c r="F7" s="5">
        <v>0.85</v>
      </c>
      <c r="G7" s="5">
        <v>0.47</v>
      </c>
      <c r="H7" s="5">
        <v>810</v>
      </c>
      <c r="I7" s="5">
        <v>1</v>
      </c>
      <c r="J7" s="5">
        <v>0</v>
      </c>
      <c r="K7" s="5">
        <v>23.880597014925375</v>
      </c>
      <c r="L7" s="5">
        <v>29.850746268656717</v>
      </c>
      <c r="M7" s="5">
        <v>35.820895522388057</v>
      </c>
      <c r="N7" s="5">
        <v>7.1641791044776122</v>
      </c>
      <c r="O7" s="5">
        <v>2.5</v>
      </c>
      <c r="P7" t="s">
        <v>23</v>
      </c>
      <c r="Q7" t="s">
        <v>24</v>
      </c>
    </row>
    <row r="8" spans="1:17" x14ac:dyDescent="0.3">
      <c r="A8">
        <f t="shared" si="0"/>
        <v>4</v>
      </c>
      <c r="B8">
        <v>50</v>
      </c>
      <c r="C8" s="5">
        <v>5.7</v>
      </c>
      <c r="D8" s="5">
        <v>44.1</v>
      </c>
      <c r="E8" s="5">
        <v>22</v>
      </c>
      <c r="F8" s="5">
        <v>0.85</v>
      </c>
      <c r="G8" s="5">
        <v>0.26</v>
      </c>
      <c r="H8" s="5">
        <v>800</v>
      </c>
      <c r="I8" s="5">
        <v>1</v>
      </c>
      <c r="J8" s="5">
        <v>0</v>
      </c>
      <c r="K8" s="5">
        <v>20.383693045563547</v>
      </c>
      <c r="L8" s="5">
        <v>31.175059952038367</v>
      </c>
      <c r="M8" s="5">
        <v>35.97122302158273</v>
      </c>
      <c r="N8" s="5">
        <v>6.4748201438848918</v>
      </c>
      <c r="O8" s="5">
        <v>2.1</v>
      </c>
      <c r="P8" t="s">
        <v>23</v>
      </c>
      <c r="Q8" t="s">
        <v>24</v>
      </c>
    </row>
    <row r="9" spans="1:17" x14ac:dyDescent="0.3">
      <c r="A9">
        <f t="shared" si="0"/>
        <v>5</v>
      </c>
      <c r="B9">
        <v>50</v>
      </c>
      <c r="C9" s="5">
        <v>5.7</v>
      </c>
      <c r="D9" s="5">
        <v>44.1</v>
      </c>
      <c r="E9" s="5">
        <v>25</v>
      </c>
      <c r="F9" s="5">
        <v>0.85</v>
      </c>
      <c r="G9" s="5">
        <v>0.36</v>
      </c>
      <c r="H9" s="5">
        <v>790</v>
      </c>
      <c r="I9" s="5">
        <v>1</v>
      </c>
      <c r="J9" s="5">
        <v>0</v>
      </c>
      <c r="K9" s="5">
        <v>22.781774580335728</v>
      </c>
      <c r="L9" s="5">
        <v>31.175059952038367</v>
      </c>
      <c r="M9" s="5">
        <v>35.97122302158273</v>
      </c>
      <c r="N9" s="5">
        <v>6.4748201438848918</v>
      </c>
      <c r="O9" s="5">
        <v>2.4</v>
      </c>
      <c r="P9" t="s">
        <v>23</v>
      </c>
      <c r="Q9" t="s">
        <v>24</v>
      </c>
    </row>
    <row r="10" spans="1:17" x14ac:dyDescent="0.3">
      <c r="A10">
        <f t="shared" si="0"/>
        <v>6</v>
      </c>
      <c r="B10">
        <v>50</v>
      </c>
      <c r="C10" s="5">
        <v>5.7</v>
      </c>
      <c r="D10" s="5">
        <v>44.1</v>
      </c>
      <c r="E10" s="5">
        <v>19</v>
      </c>
      <c r="F10" s="5">
        <v>0.85</v>
      </c>
      <c r="G10" s="5">
        <v>0.32</v>
      </c>
      <c r="H10" s="5">
        <v>800</v>
      </c>
      <c r="I10" s="5">
        <v>1</v>
      </c>
      <c r="J10" s="5">
        <v>0</v>
      </c>
      <c r="K10" s="5">
        <v>17.272727272727273</v>
      </c>
      <c r="L10" s="5">
        <v>32.727272727272727</v>
      </c>
      <c r="M10" s="5">
        <v>24.545454545454547</v>
      </c>
      <c r="N10" s="5">
        <v>8.1818181818181817</v>
      </c>
      <c r="O10" s="5">
        <v>2.1</v>
      </c>
      <c r="P10" t="s">
        <v>23</v>
      </c>
      <c r="Q10" t="s">
        <v>24</v>
      </c>
    </row>
    <row r="11" spans="1:17" x14ac:dyDescent="0.3">
      <c r="A11">
        <f t="shared" si="0"/>
        <v>7</v>
      </c>
      <c r="B11" s="5">
        <v>45.889600000000002</v>
      </c>
      <c r="C11" s="5">
        <v>5.6372999999999998</v>
      </c>
      <c r="D11" s="5">
        <v>47.1753</v>
      </c>
      <c r="E11" s="5">
        <v>8.5</v>
      </c>
      <c r="F11" s="5">
        <v>1.1000000000000001</v>
      </c>
      <c r="G11" s="5">
        <v>0.32</v>
      </c>
      <c r="H11" s="5">
        <v>750</v>
      </c>
      <c r="I11" s="5">
        <v>1</v>
      </c>
      <c r="J11" s="5">
        <v>0</v>
      </c>
      <c r="K11" s="5">
        <v>14.709343374911743</v>
      </c>
      <c r="L11" s="5">
        <v>33.60790774299835</v>
      </c>
      <c r="M11" s="5">
        <v>40.127088726759233</v>
      </c>
      <c r="N11" s="5">
        <v>8.1666274417510003</v>
      </c>
      <c r="O11" s="5">
        <v>1.8907987866531848</v>
      </c>
      <c r="P11" t="s">
        <v>25</v>
      </c>
      <c r="Q11" t="s">
        <v>26</v>
      </c>
    </row>
    <row r="12" spans="1:17" x14ac:dyDescent="0.3">
      <c r="A12">
        <f t="shared" si="0"/>
        <v>8</v>
      </c>
      <c r="B12" s="5">
        <v>45.889600000000002</v>
      </c>
      <c r="C12" s="5">
        <v>5.6372999999999998</v>
      </c>
      <c r="D12" s="5">
        <v>47.1753</v>
      </c>
      <c r="E12" s="5">
        <v>8.5</v>
      </c>
      <c r="F12" s="5">
        <v>1.1000000000000001</v>
      </c>
      <c r="G12" s="5">
        <v>0.36</v>
      </c>
      <c r="H12" s="5">
        <v>776.5</v>
      </c>
      <c r="I12" s="5">
        <v>1</v>
      </c>
      <c r="J12" s="5">
        <v>0</v>
      </c>
      <c r="K12" s="5">
        <v>16.538981523208651</v>
      </c>
      <c r="L12" s="5">
        <v>29.044614691302385</v>
      </c>
      <c r="M12" s="5">
        <v>38.192879675529518</v>
      </c>
      <c r="N12" s="5">
        <v>7.5935105903560158</v>
      </c>
      <c r="O12" s="5">
        <v>2.1840242669362993</v>
      </c>
      <c r="P12" t="s">
        <v>25</v>
      </c>
      <c r="Q12" t="s">
        <v>26</v>
      </c>
    </row>
    <row r="13" spans="1:17" x14ac:dyDescent="0.3">
      <c r="A13">
        <f t="shared" si="0"/>
        <v>9</v>
      </c>
      <c r="B13" s="5">
        <v>45.889600000000002</v>
      </c>
      <c r="C13" s="5">
        <v>5.6372999999999998</v>
      </c>
      <c r="D13" s="5">
        <v>47.1753</v>
      </c>
      <c r="E13" s="5">
        <v>8.5</v>
      </c>
      <c r="F13" s="5">
        <v>1.1000000000000001</v>
      </c>
      <c r="G13" s="5">
        <v>0.38</v>
      </c>
      <c r="H13" s="5">
        <v>790.5</v>
      </c>
      <c r="I13" s="5">
        <v>1</v>
      </c>
      <c r="J13" s="5">
        <v>0</v>
      </c>
      <c r="K13" s="5">
        <v>19.158233670653175</v>
      </c>
      <c r="L13" s="5">
        <v>29.645814167433304</v>
      </c>
      <c r="M13" s="5">
        <v>37.396504139834413</v>
      </c>
      <c r="N13" s="5">
        <v>7.98068077276909</v>
      </c>
      <c r="O13" s="5">
        <v>2.3154701718907988</v>
      </c>
      <c r="P13" t="s">
        <v>25</v>
      </c>
      <c r="Q13" t="s">
        <v>26</v>
      </c>
    </row>
    <row r="14" spans="1:17" x14ac:dyDescent="0.3">
      <c r="A14">
        <f t="shared" si="0"/>
        <v>10</v>
      </c>
      <c r="B14" s="5">
        <v>45.889600000000002</v>
      </c>
      <c r="C14" s="5">
        <v>5.6372999999999998</v>
      </c>
      <c r="D14" s="5">
        <v>47.1753</v>
      </c>
      <c r="E14" s="5">
        <v>8.5</v>
      </c>
      <c r="F14" s="5">
        <v>1.1000000000000001</v>
      </c>
      <c r="G14" s="5">
        <v>0.41</v>
      </c>
      <c r="H14" s="5">
        <v>808.4</v>
      </c>
      <c r="I14" s="5">
        <v>1</v>
      </c>
      <c r="J14" s="5">
        <v>0</v>
      </c>
      <c r="K14" s="5">
        <v>16.642335766423358</v>
      </c>
      <c r="L14" s="5">
        <v>28.223844282238442</v>
      </c>
      <c r="M14" s="5">
        <v>40.778588807785894</v>
      </c>
      <c r="N14" s="5">
        <v>8.442822384428224</v>
      </c>
      <c r="O14" s="5">
        <v>2.3660262891809909</v>
      </c>
      <c r="P14" t="s">
        <v>25</v>
      </c>
      <c r="Q14" t="s">
        <v>26</v>
      </c>
    </row>
    <row r="15" spans="1:17" x14ac:dyDescent="0.3">
      <c r="A15">
        <f t="shared" si="0"/>
        <v>11</v>
      </c>
      <c r="B15" s="5">
        <v>45.889600000000002</v>
      </c>
      <c r="C15" s="5">
        <v>5.6372999999999998</v>
      </c>
      <c r="D15" s="5">
        <v>47.1753</v>
      </c>
      <c r="E15" s="5">
        <v>8.5</v>
      </c>
      <c r="F15" s="5">
        <v>1.1000000000000001</v>
      </c>
      <c r="G15" s="5">
        <v>0.43</v>
      </c>
      <c r="H15" s="5">
        <v>834.2</v>
      </c>
      <c r="I15" s="5">
        <v>1</v>
      </c>
      <c r="J15" s="5">
        <v>0</v>
      </c>
      <c r="K15" s="5">
        <v>12.235649546827796</v>
      </c>
      <c r="L15" s="5">
        <v>25.956696878147032</v>
      </c>
      <c r="M15" s="5">
        <v>40.181268882175225</v>
      </c>
      <c r="N15" s="5">
        <v>7.9808660624370598</v>
      </c>
      <c r="O15" s="5">
        <v>2.487360970677452</v>
      </c>
      <c r="P15" t="s">
        <v>25</v>
      </c>
      <c r="Q15" t="s">
        <v>26</v>
      </c>
    </row>
    <row r="16" spans="1:17" x14ac:dyDescent="0.3">
      <c r="A16">
        <f t="shared" si="0"/>
        <v>12</v>
      </c>
      <c r="B16">
        <v>50.54</v>
      </c>
      <c r="C16" s="5">
        <v>7.08</v>
      </c>
      <c r="D16" s="5">
        <v>41.11</v>
      </c>
      <c r="E16" s="5">
        <v>8</v>
      </c>
      <c r="F16" s="5">
        <v>0.55000000000000004</v>
      </c>
      <c r="G16" s="5">
        <v>0.22</v>
      </c>
      <c r="H16" s="5">
        <v>700</v>
      </c>
      <c r="I16" s="5">
        <v>1</v>
      </c>
      <c r="J16" s="5">
        <v>2.7</v>
      </c>
      <c r="K16" s="5">
        <v>21.4</v>
      </c>
      <c r="L16" s="5">
        <v>42.85</v>
      </c>
      <c r="M16" s="5">
        <v>20.48</v>
      </c>
      <c r="N16" s="5">
        <v>9.32</v>
      </c>
      <c r="O16" s="5">
        <v>1.5629440181869847</v>
      </c>
      <c r="P16" t="s">
        <v>23</v>
      </c>
      <c r="Q16" t="s">
        <v>27</v>
      </c>
    </row>
    <row r="17" spans="1:17" x14ac:dyDescent="0.3">
      <c r="A17">
        <f t="shared" si="0"/>
        <v>13</v>
      </c>
      <c r="B17">
        <v>50.54</v>
      </c>
      <c r="C17" s="5">
        <v>7.08</v>
      </c>
      <c r="D17" s="5">
        <v>41.11</v>
      </c>
      <c r="E17" s="5">
        <v>8</v>
      </c>
      <c r="F17" s="5">
        <v>0.55000000000000004</v>
      </c>
      <c r="G17" s="5">
        <v>0.22</v>
      </c>
      <c r="H17" s="5">
        <v>750</v>
      </c>
      <c r="I17" s="5">
        <v>1</v>
      </c>
      <c r="J17" s="5">
        <v>2.7</v>
      </c>
      <c r="K17" s="5">
        <v>28.2</v>
      </c>
      <c r="L17" s="5">
        <v>39.299999999999997</v>
      </c>
      <c r="M17" s="5">
        <v>19.5</v>
      </c>
      <c r="N17" s="5">
        <v>8.2799999999999994</v>
      </c>
      <c r="O17" s="5">
        <v>1.6503814457778652</v>
      </c>
      <c r="P17" t="s">
        <v>23</v>
      </c>
      <c r="Q17" t="s">
        <v>27</v>
      </c>
    </row>
    <row r="18" spans="1:17" x14ac:dyDescent="0.3">
      <c r="A18">
        <f t="shared" si="0"/>
        <v>14</v>
      </c>
      <c r="B18">
        <v>50.54</v>
      </c>
      <c r="C18" s="5">
        <v>7.08</v>
      </c>
      <c r="D18" s="5">
        <v>41.11</v>
      </c>
      <c r="E18" s="5">
        <v>8</v>
      </c>
      <c r="F18" s="5">
        <v>0.55000000000000004</v>
      </c>
      <c r="G18" s="5">
        <v>0.22</v>
      </c>
      <c r="H18" s="5">
        <v>800</v>
      </c>
      <c r="I18" s="5">
        <v>1</v>
      </c>
      <c r="J18" s="5">
        <v>2.7</v>
      </c>
      <c r="K18" s="5">
        <v>32.19</v>
      </c>
      <c r="L18" s="5">
        <v>37.700000000000003</v>
      </c>
      <c r="M18" s="5">
        <v>18.64</v>
      </c>
      <c r="N18" s="5">
        <v>7.6</v>
      </c>
      <c r="O18" s="5">
        <v>2.7652086475615887</v>
      </c>
      <c r="P18" t="s">
        <v>23</v>
      </c>
      <c r="Q18" t="s">
        <v>27</v>
      </c>
    </row>
    <row r="19" spans="1:17" x14ac:dyDescent="0.3">
      <c r="A19">
        <f t="shared" si="0"/>
        <v>15</v>
      </c>
      <c r="B19">
        <v>50.54</v>
      </c>
      <c r="C19" s="5">
        <v>7.08</v>
      </c>
      <c r="D19" s="5">
        <v>41.11</v>
      </c>
      <c r="E19" s="5">
        <v>8</v>
      </c>
      <c r="F19" s="5">
        <v>0.55000000000000004</v>
      </c>
      <c r="G19" s="5">
        <v>0.22</v>
      </c>
      <c r="H19" s="5">
        <v>850</v>
      </c>
      <c r="I19" s="5">
        <v>1</v>
      </c>
      <c r="J19" s="5">
        <v>2.7</v>
      </c>
      <c r="K19" s="5">
        <v>36.29</v>
      </c>
      <c r="L19" s="5">
        <v>34.56</v>
      </c>
      <c r="M19" s="5">
        <v>18.7</v>
      </c>
      <c r="N19" s="5">
        <v>7.3</v>
      </c>
      <c r="O19" s="5">
        <v>2.6777712199707087</v>
      </c>
      <c r="P19" t="s">
        <v>23</v>
      </c>
      <c r="Q19" t="s">
        <v>27</v>
      </c>
    </row>
    <row r="20" spans="1:17" x14ac:dyDescent="0.3">
      <c r="A20">
        <f t="shared" si="0"/>
        <v>16</v>
      </c>
      <c r="B20">
        <v>50.54</v>
      </c>
      <c r="C20" s="5">
        <v>7.08</v>
      </c>
      <c r="D20" s="5">
        <v>41.11</v>
      </c>
      <c r="E20" s="5">
        <v>8</v>
      </c>
      <c r="F20" s="5">
        <v>0.55000000000000004</v>
      </c>
      <c r="G20" s="5">
        <v>0.22</v>
      </c>
      <c r="H20" s="5">
        <v>900</v>
      </c>
      <c r="I20" s="5">
        <v>1</v>
      </c>
      <c r="J20" s="5">
        <v>2.7</v>
      </c>
      <c r="K20" s="5">
        <v>39.42</v>
      </c>
      <c r="L20" s="5">
        <v>33.35</v>
      </c>
      <c r="M20" s="5">
        <v>19.25</v>
      </c>
      <c r="N20" s="5">
        <v>6.13</v>
      </c>
      <c r="O20" s="5">
        <v>2.7652086475615887</v>
      </c>
      <c r="P20" t="s">
        <v>23</v>
      </c>
      <c r="Q20" t="s">
        <v>27</v>
      </c>
    </row>
    <row r="21" spans="1:17" x14ac:dyDescent="0.3">
      <c r="A21">
        <f t="shared" si="0"/>
        <v>17</v>
      </c>
      <c r="B21">
        <v>50.54</v>
      </c>
      <c r="C21" s="5">
        <v>7.08</v>
      </c>
      <c r="D21" s="5">
        <v>41.11</v>
      </c>
      <c r="E21" s="5">
        <v>8</v>
      </c>
      <c r="F21" s="5">
        <v>0.55000000000000004</v>
      </c>
      <c r="G21" s="5">
        <v>0.19</v>
      </c>
      <c r="H21" s="5">
        <v>800</v>
      </c>
      <c r="I21" s="5">
        <v>1</v>
      </c>
      <c r="J21" s="5">
        <v>1.56</v>
      </c>
      <c r="K21" s="5">
        <v>32.11</v>
      </c>
      <c r="L21" s="5">
        <v>37.92</v>
      </c>
      <c r="M21" s="5">
        <v>17.75</v>
      </c>
      <c r="N21" s="5">
        <v>7.79</v>
      </c>
      <c r="O21" s="5">
        <v>2.3280215096071868</v>
      </c>
      <c r="P21" t="s">
        <v>23</v>
      </c>
      <c r="Q21" t="s">
        <v>27</v>
      </c>
    </row>
    <row r="22" spans="1:17" x14ac:dyDescent="0.3">
      <c r="A22">
        <f t="shared" si="0"/>
        <v>18</v>
      </c>
      <c r="B22">
        <v>50.54</v>
      </c>
      <c r="C22" s="5">
        <v>7.08</v>
      </c>
      <c r="D22" s="5">
        <v>41.11</v>
      </c>
      <c r="E22" s="5">
        <v>8</v>
      </c>
      <c r="F22" s="5">
        <v>0.55000000000000004</v>
      </c>
      <c r="G22" s="5">
        <v>0.21</v>
      </c>
      <c r="H22" s="5">
        <v>800</v>
      </c>
      <c r="I22" s="5">
        <v>1</v>
      </c>
      <c r="J22" s="5">
        <v>1.56</v>
      </c>
      <c r="K22" s="5">
        <v>31.34</v>
      </c>
      <c r="L22" s="5">
        <v>39.39</v>
      </c>
      <c r="M22" s="5">
        <v>16.899999999999999</v>
      </c>
      <c r="N22" s="5">
        <v>8.11</v>
      </c>
      <c r="O22" s="5">
        <v>2.4591776509935075</v>
      </c>
      <c r="P22" t="s">
        <v>23</v>
      </c>
      <c r="Q22" t="s">
        <v>27</v>
      </c>
    </row>
    <row r="23" spans="1:17" x14ac:dyDescent="0.3">
      <c r="A23">
        <f t="shared" si="0"/>
        <v>19</v>
      </c>
      <c r="B23">
        <v>50.54</v>
      </c>
      <c r="C23" s="5">
        <v>7.08</v>
      </c>
      <c r="D23" s="5">
        <v>41.11</v>
      </c>
      <c r="E23" s="5">
        <v>8</v>
      </c>
      <c r="F23" s="5">
        <v>0.55000000000000004</v>
      </c>
      <c r="G23" s="5">
        <v>0.23</v>
      </c>
      <c r="H23" s="5">
        <v>800</v>
      </c>
      <c r="I23" s="5">
        <v>1</v>
      </c>
      <c r="J23" s="5">
        <v>1.56</v>
      </c>
      <c r="K23" s="5">
        <v>31.41</v>
      </c>
      <c r="L23" s="5">
        <v>39.96</v>
      </c>
      <c r="M23" s="5">
        <v>16.47</v>
      </c>
      <c r="N23" s="5">
        <v>7.59</v>
      </c>
      <c r="O23" s="5">
        <v>2.5138260432378075</v>
      </c>
      <c r="P23" t="s">
        <v>23</v>
      </c>
      <c r="Q23" t="s">
        <v>27</v>
      </c>
    </row>
    <row r="24" spans="1:17" x14ac:dyDescent="0.3">
      <c r="A24">
        <f t="shared" si="0"/>
        <v>20</v>
      </c>
      <c r="B24">
        <v>50.54</v>
      </c>
      <c r="C24" s="5">
        <v>7.08</v>
      </c>
      <c r="D24" s="5">
        <v>41.11</v>
      </c>
      <c r="E24" s="5">
        <v>8</v>
      </c>
      <c r="F24" s="5">
        <v>0.55000000000000004</v>
      </c>
      <c r="G24" s="5">
        <v>0.25</v>
      </c>
      <c r="H24" s="5">
        <v>800</v>
      </c>
      <c r="I24" s="5">
        <v>1</v>
      </c>
      <c r="J24" s="5">
        <v>1.56</v>
      </c>
      <c r="K24" s="5">
        <v>30.98</v>
      </c>
      <c r="L24" s="5">
        <v>39.6</v>
      </c>
      <c r="M24" s="5">
        <v>18.03</v>
      </c>
      <c r="N24" s="5">
        <v>7.24</v>
      </c>
      <c r="O24" s="5">
        <v>2.3826699018514872</v>
      </c>
      <c r="P24" t="s">
        <v>23</v>
      </c>
      <c r="Q24" t="s">
        <v>27</v>
      </c>
    </row>
    <row r="25" spans="1:17" x14ac:dyDescent="0.3">
      <c r="A25">
        <f t="shared" si="0"/>
        <v>21</v>
      </c>
      <c r="B25">
        <v>50.54</v>
      </c>
      <c r="C25" s="5">
        <v>7.08</v>
      </c>
      <c r="D25" s="5">
        <v>41.11</v>
      </c>
      <c r="E25" s="5">
        <v>8</v>
      </c>
      <c r="F25" s="5">
        <v>0.55000000000000004</v>
      </c>
      <c r="G25" s="5">
        <v>0.27</v>
      </c>
      <c r="H25" s="5">
        <v>800</v>
      </c>
      <c r="I25" s="5">
        <v>1</v>
      </c>
      <c r="J25" s="5">
        <v>1.56</v>
      </c>
      <c r="K25" s="5">
        <v>31.88</v>
      </c>
      <c r="L25" s="5">
        <v>38.020000000000003</v>
      </c>
      <c r="M25" s="5">
        <v>19.93</v>
      </c>
      <c r="N25" s="5">
        <v>6.56</v>
      </c>
      <c r="O25" s="5">
        <v>2.0547795483856861</v>
      </c>
      <c r="P25" t="s">
        <v>23</v>
      </c>
      <c r="Q25" t="s">
        <v>27</v>
      </c>
    </row>
    <row r="26" spans="1:17" x14ac:dyDescent="0.3">
      <c r="A26">
        <f t="shared" si="0"/>
        <v>22</v>
      </c>
      <c r="B26">
        <v>50.54</v>
      </c>
      <c r="C26" s="5">
        <v>7.08</v>
      </c>
      <c r="D26" s="5">
        <v>41.11</v>
      </c>
      <c r="E26" s="5">
        <v>8</v>
      </c>
      <c r="F26" s="5">
        <v>0.55000000000000004</v>
      </c>
      <c r="G26" s="5">
        <v>0.22</v>
      </c>
      <c r="H26" s="5">
        <v>800</v>
      </c>
      <c r="I26" s="5">
        <v>1</v>
      </c>
      <c r="J26" s="5">
        <v>0</v>
      </c>
      <c r="K26" s="5">
        <v>33.5</v>
      </c>
      <c r="L26" s="5">
        <v>42.99</v>
      </c>
      <c r="M26" s="5">
        <v>15.97</v>
      </c>
      <c r="N26" s="5">
        <v>6.12</v>
      </c>
      <c r="O26" s="5">
        <v>1.5957330535335648</v>
      </c>
      <c r="P26" t="s">
        <v>23</v>
      </c>
      <c r="Q26" t="s">
        <v>27</v>
      </c>
    </row>
    <row r="27" spans="1:17" x14ac:dyDescent="0.3">
      <c r="A27">
        <f t="shared" si="0"/>
        <v>23</v>
      </c>
      <c r="B27">
        <v>50.54</v>
      </c>
      <c r="C27" s="5">
        <v>7.08</v>
      </c>
      <c r="D27" s="5">
        <v>41.11</v>
      </c>
      <c r="E27" s="5">
        <v>8</v>
      </c>
      <c r="F27" s="5">
        <v>0.55000000000000004</v>
      </c>
      <c r="G27" s="5">
        <v>0.22</v>
      </c>
      <c r="H27" s="5">
        <v>800</v>
      </c>
      <c r="I27" s="5">
        <v>1</v>
      </c>
      <c r="J27" s="5">
        <v>1.35</v>
      </c>
      <c r="K27" s="5">
        <v>29.85</v>
      </c>
      <c r="L27" s="5">
        <v>40.53</v>
      </c>
      <c r="M27" s="5">
        <v>16.98</v>
      </c>
      <c r="N27" s="5">
        <v>8.49</v>
      </c>
      <c r="O27" s="5">
        <v>2.6121931492775481</v>
      </c>
      <c r="P27" t="s">
        <v>23</v>
      </c>
      <c r="Q27" t="s">
        <v>27</v>
      </c>
    </row>
    <row r="28" spans="1:17" x14ac:dyDescent="0.3">
      <c r="A28">
        <f t="shared" si="0"/>
        <v>24</v>
      </c>
      <c r="B28">
        <v>50.54</v>
      </c>
      <c r="C28" s="5">
        <v>7.08</v>
      </c>
      <c r="D28" s="5">
        <v>41.11</v>
      </c>
      <c r="E28" s="5">
        <v>8</v>
      </c>
      <c r="F28" s="5">
        <v>0.55000000000000004</v>
      </c>
      <c r="G28" s="5">
        <v>0.22</v>
      </c>
      <c r="H28" s="5">
        <v>800</v>
      </c>
      <c r="I28" s="5">
        <v>1</v>
      </c>
      <c r="J28" s="5">
        <v>2.02</v>
      </c>
      <c r="K28" s="5">
        <v>30.94</v>
      </c>
      <c r="L28" s="5">
        <v>39.340000000000003</v>
      </c>
      <c r="M28" s="5">
        <v>17.34</v>
      </c>
      <c r="N28" s="5">
        <v>8.2200000000000006</v>
      </c>
      <c r="O28" s="5">
        <v>2.5575447570332477</v>
      </c>
      <c r="P28" t="s">
        <v>23</v>
      </c>
      <c r="Q28" t="s">
        <v>27</v>
      </c>
    </row>
    <row r="29" spans="1:17" x14ac:dyDescent="0.3">
      <c r="A29">
        <f t="shared" si="0"/>
        <v>25</v>
      </c>
      <c r="B29">
        <v>50.54</v>
      </c>
      <c r="C29" s="5">
        <v>7.08</v>
      </c>
      <c r="D29" s="5">
        <v>41.11</v>
      </c>
      <c r="E29" s="5">
        <v>8</v>
      </c>
      <c r="F29" s="5">
        <v>0.55000000000000004</v>
      </c>
      <c r="G29" s="5">
        <v>0.22</v>
      </c>
      <c r="H29" s="5">
        <v>800</v>
      </c>
      <c r="I29" s="5">
        <v>1</v>
      </c>
      <c r="J29" s="5">
        <v>2.7</v>
      </c>
      <c r="K29" s="5">
        <v>32.22</v>
      </c>
      <c r="L29" s="5">
        <v>37.700000000000003</v>
      </c>
      <c r="M29" s="5">
        <v>18.71</v>
      </c>
      <c r="N29" s="5">
        <v>7.76</v>
      </c>
      <c r="O29" s="5">
        <v>2.4373182940957876</v>
      </c>
      <c r="P29" t="s">
        <v>23</v>
      </c>
      <c r="Q29" t="s">
        <v>27</v>
      </c>
    </row>
    <row r="30" spans="1:17" x14ac:dyDescent="0.3">
      <c r="A30">
        <f t="shared" si="0"/>
        <v>26</v>
      </c>
      <c r="B30">
        <v>50.54</v>
      </c>
      <c r="C30" s="5">
        <v>7.08</v>
      </c>
      <c r="D30" s="5">
        <v>41.11</v>
      </c>
      <c r="E30" s="5">
        <v>8</v>
      </c>
      <c r="F30" s="5">
        <v>0.55000000000000004</v>
      </c>
      <c r="G30" s="5">
        <v>0.22</v>
      </c>
      <c r="H30" s="5">
        <v>800</v>
      </c>
      <c r="I30" s="5">
        <v>1</v>
      </c>
      <c r="J30" s="5">
        <v>4.04</v>
      </c>
      <c r="K30" s="5">
        <v>31.86</v>
      </c>
      <c r="L30" s="5">
        <v>37.42</v>
      </c>
      <c r="M30" s="5">
        <v>19.62</v>
      </c>
      <c r="N30" s="5">
        <v>7.48</v>
      </c>
      <c r="O30" s="5">
        <v>2.1312872975277068</v>
      </c>
      <c r="P30" t="s">
        <v>23</v>
      </c>
      <c r="Q30" t="s">
        <v>27</v>
      </c>
    </row>
    <row r="31" spans="1:17" x14ac:dyDescent="0.3">
      <c r="A31">
        <f t="shared" si="0"/>
        <v>27</v>
      </c>
      <c r="B31">
        <v>49.47</v>
      </c>
      <c r="C31" s="5">
        <v>5.79</v>
      </c>
      <c r="D31" s="5">
        <v>41.94</v>
      </c>
      <c r="E31" s="5">
        <v>6.28</v>
      </c>
      <c r="F31" s="5">
        <v>0.71</v>
      </c>
      <c r="G31" s="5">
        <v>0.19</v>
      </c>
      <c r="H31" s="5">
        <v>780</v>
      </c>
      <c r="I31" s="5">
        <v>2</v>
      </c>
      <c r="J31" s="5">
        <v>0</v>
      </c>
      <c r="K31" s="5">
        <v>25.581395348837205</v>
      </c>
      <c r="L31" s="5">
        <v>35.271317829457359</v>
      </c>
      <c r="M31" s="5">
        <v>27.519379844961236</v>
      </c>
      <c r="N31" s="5">
        <v>11.627906976744184</v>
      </c>
      <c r="O31" s="5">
        <v>1.1689965013318637</v>
      </c>
      <c r="P31" t="s">
        <v>28</v>
      </c>
      <c r="Q31" t="s">
        <v>29</v>
      </c>
    </row>
    <row r="32" spans="1:17" x14ac:dyDescent="0.3">
      <c r="A32">
        <f t="shared" si="0"/>
        <v>28</v>
      </c>
      <c r="B32">
        <v>49.47</v>
      </c>
      <c r="C32" s="5">
        <v>5.79</v>
      </c>
      <c r="D32" s="5">
        <v>41.94</v>
      </c>
      <c r="E32" s="5">
        <v>6.28</v>
      </c>
      <c r="F32" s="5">
        <v>0.71</v>
      </c>
      <c r="G32" s="5">
        <v>0.23</v>
      </c>
      <c r="H32" s="5">
        <v>752</v>
      </c>
      <c r="I32" s="5">
        <v>2</v>
      </c>
      <c r="J32" s="5">
        <v>0.18</v>
      </c>
      <c r="K32" s="5">
        <v>28.910891089108915</v>
      </c>
      <c r="L32" s="5">
        <v>27.32673267326733</v>
      </c>
      <c r="M32" s="5">
        <v>33.465346534653463</v>
      </c>
      <c r="N32" s="5">
        <v>10.297029702970299</v>
      </c>
      <c r="O32" s="5">
        <v>1.4246630007262893</v>
      </c>
      <c r="P32" t="s">
        <v>28</v>
      </c>
      <c r="Q32" t="s">
        <v>29</v>
      </c>
    </row>
    <row r="33" spans="1:17" x14ac:dyDescent="0.3">
      <c r="A33">
        <f t="shared" si="0"/>
        <v>29</v>
      </c>
      <c r="B33">
        <v>49.47</v>
      </c>
      <c r="C33" s="5">
        <v>5.79</v>
      </c>
      <c r="D33" s="5">
        <v>41.94</v>
      </c>
      <c r="E33" s="5">
        <v>6.28</v>
      </c>
      <c r="F33" s="5">
        <v>0.71</v>
      </c>
      <c r="G33" s="5">
        <v>0.19</v>
      </c>
      <c r="H33" s="5">
        <v>727</v>
      </c>
      <c r="I33" s="5">
        <v>2</v>
      </c>
      <c r="J33" s="5">
        <v>0.28000000000000003</v>
      </c>
      <c r="K33" s="5">
        <v>31.034482758620687</v>
      </c>
      <c r="L33" s="5">
        <v>22.030651340996169</v>
      </c>
      <c r="M33" s="5">
        <v>35.632183908045981</v>
      </c>
      <c r="N33" s="5">
        <v>11.302681992337163</v>
      </c>
      <c r="O33" s="5">
        <v>1.4684844411936557</v>
      </c>
      <c r="P33" t="s">
        <v>28</v>
      </c>
      <c r="Q33" t="s">
        <v>29</v>
      </c>
    </row>
    <row r="34" spans="1:17" x14ac:dyDescent="0.3">
      <c r="A34">
        <f t="shared" si="0"/>
        <v>30</v>
      </c>
      <c r="B34">
        <v>49.47</v>
      </c>
      <c r="C34" s="5">
        <v>5.79</v>
      </c>
      <c r="D34" s="5">
        <v>41.94</v>
      </c>
      <c r="E34" s="5">
        <v>6.28</v>
      </c>
      <c r="F34" s="5">
        <v>0.71</v>
      </c>
      <c r="G34" s="5">
        <v>0.27</v>
      </c>
      <c r="H34" s="5">
        <v>805</v>
      </c>
      <c r="I34" s="5">
        <v>2</v>
      </c>
      <c r="J34" s="5">
        <v>0</v>
      </c>
      <c r="K34" s="5">
        <v>25.049701789264418</v>
      </c>
      <c r="L34" s="5">
        <v>34.990059642147131</v>
      </c>
      <c r="M34" s="5">
        <v>29.622266401590462</v>
      </c>
      <c r="N34" s="5">
        <v>10.337972166998014</v>
      </c>
      <c r="O34" s="5">
        <v>1.5331502694597567</v>
      </c>
      <c r="P34" t="s">
        <v>28</v>
      </c>
      <c r="Q34" t="s">
        <v>29</v>
      </c>
    </row>
    <row r="35" spans="1:17" x14ac:dyDescent="0.3">
      <c r="A35">
        <f t="shared" si="0"/>
        <v>31</v>
      </c>
      <c r="B35">
        <v>49.47</v>
      </c>
      <c r="C35" s="5">
        <v>5.79</v>
      </c>
      <c r="D35" s="5">
        <v>41.94</v>
      </c>
      <c r="E35" s="5">
        <v>6.28</v>
      </c>
      <c r="F35" s="5">
        <v>0.71</v>
      </c>
      <c r="G35" s="5">
        <v>0.27</v>
      </c>
      <c r="H35" s="5">
        <v>786</v>
      </c>
      <c r="I35" s="5">
        <v>2</v>
      </c>
      <c r="J35" s="5">
        <v>0.23</v>
      </c>
      <c r="K35" s="5">
        <v>28.056112224448896</v>
      </c>
      <c r="L35" s="5">
        <v>30.060120240480959</v>
      </c>
      <c r="M35" s="5">
        <v>32.464929859719433</v>
      </c>
      <c r="N35" s="5">
        <v>9.4188376753506997</v>
      </c>
      <c r="O35" s="5">
        <v>1.8555416812620422</v>
      </c>
      <c r="P35" t="s">
        <v>28</v>
      </c>
      <c r="Q35" t="s">
        <v>29</v>
      </c>
    </row>
    <row r="36" spans="1:17" x14ac:dyDescent="0.3">
      <c r="A36">
        <f t="shared" si="0"/>
        <v>32</v>
      </c>
      <c r="B36">
        <v>49.47</v>
      </c>
      <c r="C36" s="5">
        <v>5.79</v>
      </c>
      <c r="D36" s="5">
        <v>41.94</v>
      </c>
      <c r="E36" s="5">
        <v>6.28</v>
      </c>
      <c r="F36" s="5">
        <v>0.71</v>
      </c>
      <c r="G36" s="5">
        <v>0.27</v>
      </c>
      <c r="H36" s="5">
        <v>755</v>
      </c>
      <c r="I36" s="5">
        <v>2</v>
      </c>
      <c r="J36" s="5">
        <v>0.43</v>
      </c>
      <c r="K36" s="5">
        <v>31.15384615384615</v>
      </c>
      <c r="L36" s="5">
        <v>22.884615384615383</v>
      </c>
      <c r="M36" s="5">
        <v>35.769230769230766</v>
      </c>
      <c r="N36" s="5">
        <v>10.192307692307692</v>
      </c>
      <c r="O36" s="5">
        <v>1.8985272028356803</v>
      </c>
      <c r="P36" t="s">
        <v>28</v>
      </c>
      <c r="Q36" t="s">
        <v>29</v>
      </c>
    </row>
    <row r="37" spans="1:17" x14ac:dyDescent="0.3">
      <c r="A37">
        <f t="shared" si="0"/>
        <v>33</v>
      </c>
      <c r="B37">
        <v>49.47</v>
      </c>
      <c r="C37" s="5">
        <v>5.79</v>
      </c>
      <c r="D37" s="5">
        <v>41.94</v>
      </c>
      <c r="E37" s="5">
        <v>6.28</v>
      </c>
      <c r="F37" s="5">
        <v>0.71</v>
      </c>
      <c r="G37" s="5">
        <v>0.35</v>
      </c>
      <c r="H37" s="5">
        <v>812</v>
      </c>
      <c r="I37" s="5">
        <v>2</v>
      </c>
      <c r="J37" s="5">
        <v>0</v>
      </c>
      <c r="K37" s="5">
        <v>19.463087248322143</v>
      </c>
      <c r="L37" s="5">
        <v>35.34675615212528</v>
      </c>
      <c r="M37" s="5">
        <v>33.780760626398205</v>
      </c>
      <c r="N37" s="5">
        <v>11.409395973154361</v>
      </c>
      <c r="O37" s="5">
        <v>2.1773101144907967</v>
      </c>
      <c r="P37" t="s">
        <v>28</v>
      </c>
      <c r="Q37" t="s">
        <v>29</v>
      </c>
    </row>
    <row r="38" spans="1:17" x14ac:dyDescent="0.3">
      <c r="A38">
        <f t="shared" si="0"/>
        <v>34</v>
      </c>
      <c r="B38">
        <v>49.47</v>
      </c>
      <c r="C38" s="5">
        <v>5.79</v>
      </c>
      <c r="D38" s="5">
        <v>41.94</v>
      </c>
      <c r="E38" s="5">
        <v>6.28</v>
      </c>
      <c r="F38" s="5">
        <v>0.71</v>
      </c>
      <c r="G38" s="5">
        <v>0.33</v>
      </c>
      <c r="H38" s="5">
        <v>804</v>
      </c>
      <c r="I38" s="5">
        <v>2</v>
      </c>
      <c r="J38" s="5">
        <v>0.22</v>
      </c>
      <c r="K38" s="5">
        <v>24.791666666666664</v>
      </c>
      <c r="L38" s="5">
        <v>32.083333333333329</v>
      </c>
      <c r="M38" s="5">
        <v>33.124999999999993</v>
      </c>
      <c r="N38" s="5">
        <v>9.9999999999999982</v>
      </c>
      <c r="O38" s="5">
        <v>2.4047228257383582</v>
      </c>
      <c r="P38" t="s">
        <v>28</v>
      </c>
      <c r="Q38" t="s">
        <v>29</v>
      </c>
    </row>
    <row r="39" spans="1:17" x14ac:dyDescent="0.3">
      <c r="A39">
        <f t="shared" si="0"/>
        <v>35</v>
      </c>
      <c r="B39">
        <v>49.47</v>
      </c>
      <c r="C39" s="5">
        <v>5.79</v>
      </c>
      <c r="D39" s="5">
        <v>41.94</v>
      </c>
      <c r="E39" s="5">
        <v>6.28</v>
      </c>
      <c r="F39" s="5">
        <v>0.71</v>
      </c>
      <c r="G39" s="5">
        <v>0.33</v>
      </c>
      <c r="H39" s="5">
        <v>789</v>
      </c>
      <c r="I39" s="5">
        <v>2</v>
      </c>
      <c r="J39" s="5">
        <v>0.45</v>
      </c>
      <c r="K39" s="5">
        <v>27.310061601642712</v>
      </c>
      <c r="L39" s="5">
        <v>28.336755646817252</v>
      </c>
      <c r="M39" s="5">
        <v>34.907597535934293</v>
      </c>
      <c r="N39" s="5">
        <v>9.4455852156057496</v>
      </c>
      <c r="O39" s="5">
        <v>2.501616419449427</v>
      </c>
      <c r="P39" t="s">
        <v>28</v>
      </c>
      <c r="Q39" t="s">
        <v>29</v>
      </c>
    </row>
    <row r="40" spans="1:17" x14ac:dyDescent="0.3">
      <c r="A40">
        <f t="shared" si="0"/>
        <v>36</v>
      </c>
      <c r="B40">
        <v>49.47</v>
      </c>
      <c r="C40" s="5">
        <v>5.79</v>
      </c>
      <c r="D40" s="5">
        <v>41.94</v>
      </c>
      <c r="E40" s="5">
        <v>6.28</v>
      </c>
      <c r="F40" s="5">
        <v>0.71</v>
      </c>
      <c r="G40" s="5">
        <v>0.24</v>
      </c>
      <c r="H40" s="5">
        <v>785</v>
      </c>
      <c r="I40" s="5">
        <v>2</v>
      </c>
      <c r="J40" s="5">
        <v>0</v>
      </c>
      <c r="K40" s="5">
        <v>25.44031311154599</v>
      </c>
      <c r="L40" s="5">
        <v>34.833659491193742</v>
      </c>
      <c r="M40" s="5">
        <v>28.180039138943251</v>
      </c>
      <c r="N40" s="5">
        <v>11.545988258317026</v>
      </c>
      <c r="O40" s="5">
        <v>1.7470372594872448</v>
      </c>
      <c r="P40" t="s">
        <v>28</v>
      </c>
      <c r="Q40" t="s">
        <v>29</v>
      </c>
    </row>
    <row r="41" spans="1:17" x14ac:dyDescent="0.3">
      <c r="A41">
        <f t="shared" si="0"/>
        <v>37</v>
      </c>
      <c r="B41">
        <v>49.47</v>
      </c>
      <c r="C41" s="5">
        <v>5.79</v>
      </c>
      <c r="D41" s="5">
        <v>41.94</v>
      </c>
      <c r="E41" s="5">
        <v>6.28</v>
      </c>
      <c r="F41" s="5">
        <v>0.71</v>
      </c>
      <c r="G41" s="5">
        <v>0.3</v>
      </c>
      <c r="H41" s="5">
        <v>808</v>
      </c>
      <c r="I41" s="5">
        <v>2</v>
      </c>
      <c r="J41" s="5">
        <v>0</v>
      </c>
      <c r="K41" s="5">
        <v>21.343254356765225</v>
      </c>
      <c r="L41" s="5">
        <v>34.266692774623067</v>
      </c>
      <c r="M41" s="5">
        <v>28.979831603681223</v>
      </c>
      <c r="N41" s="5">
        <v>9.98629332289015</v>
      </c>
      <c r="O41" s="5">
        <v>2.0959252540337698</v>
      </c>
      <c r="P41" t="s">
        <v>28</v>
      </c>
      <c r="Q41" t="s">
        <v>29</v>
      </c>
    </row>
    <row r="42" spans="1:17" x14ac:dyDescent="0.3">
      <c r="A42">
        <f t="shared" si="0"/>
        <v>38</v>
      </c>
      <c r="B42">
        <v>49.47</v>
      </c>
      <c r="C42" s="5">
        <v>5.79</v>
      </c>
      <c r="D42" s="5">
        <v>41.94</v>
      </c>
      <c r="E42" s="5">
        <v>6.28</v>
      </c>
      <c r="F42" s="5">
        <v>0.71</v>
      </c>
      <c r="G42" s="5">
        <v>0.36</v>
      </c>
      <c r="H42" s="5">
        <v>813</v>
      </c>
      <c r="I42" s="5">
        <v>2</v>
      </c>
      <c r="J42" s="5">
        <v>0</v>
      </c>
      <c r="K42" s="5">
        <v>18.307129011415032</v>
      </c>
      <c r="L42" s="5">
        <v>34.245100150764586</v>
      </c>
      <c r="M42" s="5">
        <v>32.306698255438292</v>
      </c>
      <c r="N42" s="5">
        <v>10.553521430109843</v>
      </c>
      <c r="O42" s="5">
        <v>2.3027957985877521</v>
      </c>
      <c r="P42" t="s">
        <v>28</v>
      </c>
      <c r="Q42" t="s">
        <v>29</v>
      </c>
    </row>
    <row r="43" spans="1:17" x14ac:dyDescent="0.3">
      <c r="A43">
        <f t="shared" si="0"/>
        <v>39</v>
      </c>
      <c r="B43">
        <v>45.04</v>
      </c>
      <c r="C43" s="5">
        <v>6.4</v>
      </c>
      <c r="D43" s="5">
        <v>21.58</v>
      </c>
      <c r="E43" s="5">
        <v>6.91</v>
      </c>
      <c r="F43" s="5">
        <v>18.87</v>
      </c>
      <c r="G43" s="5">
        <v>0.42</v>
      </c>
      <c r="H43" s="5">
        <v>857</v>
      </c>
      <c r="I43" s="5">
        <v>2</v>
      </c>
      <c r="J43" s="5">
        <v>0</v>
      </c>
      <c r="K43" s="5">
        <v>5.5299539170506904</v>
      </c>
      <c r="L43" s="5">
        <v>27.188940092165897</v>
      </c>
      <c r="M43" s="5">
        <v>58.064516129032249</v>
      </c>
      <c r="N43" s="5">
        <v>9.2165898617511512</v>
      </c>
      <c r="O43" s="5">
        <v>3.3469897724952178</v>
      </c>
      <c r="P43" t="s">
        <v>30</v>
      </c>
      <c r="Q43" t="s">
        <v>29</v>
      </c>
    </row>
    <row r="44" spans="1:17" x14ac:dyDescent="0.3">
      <c r="A44">
        <f t="shared" si="0"/>
        <v>40</v>
      </c>
      <c r="B44">
        <v>45.04</v>
      </c>
      <c r="C44" s="5">
        <v>6.4</v>
      </c>
      <c r="D44" s="5">
        <v>21.58</v>
      </c>
      <c r="E44" s="5">
        <v>6.91</v>
      </c>
      <c r="F44" s="5">
        <v>18.87</v>
      </c>
      <c r="G44" s="5">
        <v>0.35</v>
      </c>
      <c r="H44" s="5">
        <v>850</v>
      </c>
      <c r="I44" s="5">
        <v>2</v>
      </c>
      <c r="J44" s="5">
        <v>0</v>
      </c>
      <c r="K44" s="5">
        <v>7.112970711297069</v>
      </c>
      <c r="L44" s="5">
        <v>25.52301255230125</v>
      </c>
      <c r="M44" s="5">
        <v>56.066945606694546</v>
      </c>
      <c r="N44" s="5">
        <v>11.29707112970711</v>
      </c>
      <c r="O44" s="5">
        <v>2.7394838607766854</v>
      </c>
      <c r="P44" t="s">
        <v>30</v>
      </c>
      <c r="Q44" t="s">
        <v>29</v>
      </c>
    </row>
    <row r="45" spans="1:17" x14ac:dyDescent="0.3">
      <c r="A45">
        <f t="shared" si="0"/>
        <v>41</v>
      </c>
      <c r="B45">
        <v>45.04</v>
      </c>
      <c r="C45" s="5">
        <v>6.4</v>
      </c>
      <c r="D45" s="5">
        <v>21.58</v>
      </c>
      <c r="E45" s="5">
        <v>6.91</v>
      </c>
      <c r="F45" s="5">
        <v>18.87</v>
      </c>
      <c r="G45" s="5">
        <v>0.31</v>
      </c>
      <c r="H45" s="5">
        <v>843</v>
      </c>
      <c r="I45" s="5">
        <v>2</v>
      </c>
      <c r="J45" s="5">
        <v>0</v>
      </c>
      <c r="K45" s="5">
        <v>7.7519379844961245</v>
      </c>
      <c r="L45" s="5">
        <v>25.193798449612405</v>
      </c>
      <c r="M45" s="5">
        <v>55.038759689922486</v>
      </c>
      <c r="N45" s="5">
        <v>12.015503875968994</v>
      </c>
      <c r="O45" s="5">
        <v>2.4550721682863279</v>
      </c>
      <c r="P45" t="s">
        <v>30</v>
      </c>
      <c r="Q45" t="s">
        <v>29</v>
      </c>
    </row>
    <row r="46" spans="1:17" x14ac:dyDescent="0.3">
      <c r="A46">
        <f t="shared" si="0"/>
        <v>42</v>
      </c>
      <c r="B46">
        <v>45.04</v>
      </c>
      <c r="C46" s="5">
        <v>6.4</v>
      </c>
      <c r="D46" s="5">
        <v>21.58</v>
      </c>
      <c r="E46" s="5">
        <v>6.91</v>
      </c>
      <c r="F46" s="5">
        <v>18.87</v>
      </c>
      <c r="G46" s="5">
        <v>0.28999999999999998</v>
      </c>
      <c r="H46" s="5">
        <v>832</v>
      </c>
      <c r="I46" s="5">
        <v>2</v>
      </c>
      <c r="J46" s="5">
        <v>0</v>
      </c>
      <c r="K46" s="5">
        <v>13.043478260869563</v>
      </c>
      <c r="L46" s="5">
        <v>26.086956521739125</v>
      </c>
      <c r="M46" s="5">
        <v>48.160535117056845</v>
      </c>
      <c r="N46" s="5">
        <v>12.709030100334445</v>
      </c>
      <c r="O46" s="5">
        <v>2.3885434446249003</v>
      </c>
      <c r="P46" t="s">
        <v>30</v>
      </c>
      <c r="Q46" t="s">
        <v>29</v>
      </c>
    </row>
    <row r="47" spans="1:17" x14ac:dyDescent="0.3">
      <c r="A47">
        <f t="shared" si="0"/>
        <v>43</v>
      </c>
      <c r="B47">
        <v>45.04</v>
      </c>
      <c r="C47" s="5">
        <v>6.4</v>
      </c>
      <c r="D47" s="5">
        <v>21.58</v>
      </c>
      <c r="E47" s="5">
        <v>6.91</v>
      </c>
      <c r="F47" s="5">
        <v>18.87</v>
      </c>
      <c r="G47" s="5">
        <v>0.25</v>
      </c>
      <c r="H47" s="5">
        <v>808</v>
      </c>
      <c r="I47" s="5">
        <v>2</v>
      </c>
      <c r="J47" s="5">
        <v>0</v>
      </c>
      <c r="K47" s="5">
        <v>21.311475409836063</v>
      </c>
      <c r="L47" s="5">
        <v>29.78142076502732</v>
      </c>
      <c r="M47" s="5">
        <v>37.704918032786885</v>
      </c>
      <c r="N47" s="5">
        <v>11.202185792349725</v>
      </c>
      <c r="O47" s="5">
        <v>2.1626703145353723</v>
      </c>
      <c r="P47" t="s">
        <v>30</v>
      </c>
      <c r="Q47" t="s">
        <v>29</v>
      </c>
    </row>
    <row r="48" spans="1:17" x14ac:dyDescent="0.3">
      <c r="A48">
        <f t="shared" si="0"/>
        <v>44</v>
      </c>
      <c r="B48">
        <v>46.4</v>
      </c>
      <c r="C48" s="5">
        <v>5.33</v>
      </c>
      <c r="D48" s="5">
        <v>32.130000000000003</v>
      </c>
      <c r="E48" s="5">
        <v>8.66</v>
      </c>
      <c r="F48" s="5">
        <v>14.21</v>
      </c>
      <c r="G48" s="5">
        <v>0.43</v>
      </c>
      <c r="H48" s="5">
        <v>870</v>
      </c>
      <c r="I48" s="5">
        <v>2</v>
      </c>
      <c r="J48" s="5">
        <v>0</v>
      </c>
      <c r="K48" s="5">
        <v>22.834645669291341</v>
      </c>
      <c r="L48" s="5">
        <v>19.685039370078744</v>
      </c>
      <c r="M48" s="5">
        <v>46.981627296587931</v>
      </c>
      <c r="N48" s="5">
        <v>10.498687664041997</v>
      </c>
      <c r="O48" s="5">
        <v>3.2382350994669693</v>
      </c>
      <c r="P48" t="s">
        <v>31</v>
      </c>
      <c r="Q48" t="s">
        <v>29</v>
      </c>
    </row>
    <row r="49" spans="1:17" x14ac:dyDescent="0.3">
      <c r="A49">
        <f t="shared" si="0"/>
        <v>45</v>
      </c>
      <c r="B49">
        <v>46.4</v>
      </c>
      <c r="C49" s="5">
        <v>5.33</v>
      </c>
      <c r="D49" s="5">
        <v>32.130000000000003</v>
      </c>
      <c r="E49" s="5">
        <v>8.66</v>
      </c>
      <c r="F49" s="5">
        <v>14.21</v>
      </c>
      <c r="G49" s="5">
        <v>0.23</v>
      </c>
      <c r="H49" s="5">
        <v>770</v>
      </c>
      <c r="I49" s="5">
        <v>2</v>
      </c>
      <c r="J49" s="5">
        <v>0</v>
      </c>
      <c r="K49" s="5">
        <v>27.973568281938324</v>
      </c>
      <c r="L49" s="5">
        <v>23.788546255506606</v>
      </c>
      <c r="M49" s="5">
        <v>33.480176211453738</v>
      </c>
      <c r="N49" s="5">
        <v>14.757709251101319</v>
      </c>
      <c r="O49" s="5">
        <v>2.1524426408279624</v>
      </c>
      <c r="P49" t="s">
        <v>31</v>
      </c>
      <c r="Q49" t="s">
        <v>29</v>
      </c>
    </row>
    <row r="50" spans="1:17" x14ac:dyDescent="0.3">
      <c r="A50">
        <f t="shared" si="0"/>
        <v>46</v>
      </c>
      <c r="B50">
        <v>30.88</v>
      </c>
      <c r="C50" s="5">
        <v>4.3600000000000003</v>
      </c>
      <c r="D50" s="5">
        <v>15.61</v>
      </c>
      <c r="E50" s="5">
        <v>8.65</v>
      </c>
      <c r="F50" s="5">
        <v>43.15</v>
      </c>
      <c r="G50" s="5">
        <v>0.3</v>
      </c>
      <c r="H50" s="5">
        <v>840</v>
      </c>
      <c r="I50" s="5">
        <v>2</v>
      </c>
      <c r="J50" s="5">
        <v>0</v>
      </c>
      <c r="K50" s="5">
        <v>20.192307692307686</v>
      </c>
      <c r="L50" s="5">
        <v>23.798076923076913</v>
      </c>
      <c r="M50" s="5">
        <v>36.538461538461526</v>
      </c>
      <c r="N50" s="5">
        <v>19.47115384615384</v>
      </c>
      <c r="O50" s="5">
        <v>2.4912157566147193</v>
      </c>
      <c r="P50" t="s">
        <v>31</v>
      </c>
      <c r="Q50" t="s">
        <v>29</v>
      </c>
    </row>
    <row r="51" spans="1:17" x14ac:dyDescent="0.3">
      <c r="A51">
        <f t="shared" si="0"/>
        <v>47</v>
      </c>
      <c r="B51" s="5">
        <v>45.100099999999998</v>
      </c>
      <c r="C51" s="5">
        <v>5.3014999999999999</v>
      </c>
      <c r="D51" s="5">
        <v>26.128399999999999</v>
      </c>
      <c r="E51" s="5">
        <v>22.1</v>
      </c>
      <c r="F51" s="5">
        <v>17.55</v>
      </c>
      <c r="G51" s="5">
        <v>0.18</v>
      </c>
      <c r="H51" s="5">
        <v>700</v>
      </c>
      <c r="I51" s="5">
        <v>1</v>
      </c>
      <c r="J51" s="5">
        <v>0</v>
      </c>
      <c r="K51" s="5">
        <v>23.677419354838708</v>
      </c>
      <c r="L51" s="5">
        <v>17.451612903225808</v>
      </c>
      <c r="M51" s="5">
        <v>36.645161290322584</v>
      </c>
      <c r="N51" s="5">
        <v>6</v>
      </c>
      <c r="O51" s="5">
        <v>0.23250000000000001</v>
      </c>
      <c r="P51" t="s">
        <v>32</v>
      </c>
      <c r="Q51" t="s">
        <v>33</v>
      </c>
    </row>
    <row r="52" spans="1:17" x14ac:dyDescent="0.3">
      <c r="A52">
        <f t="shared" si="0"/>
        <v>48</v>
      </c>
      <c r="B52" s="5">
        <v>45.100099999999998</v>
      </c>
      <c r="C52" s="5">
        <v>5.3014999999999999</v>
      </c>
      <c r="D52" s="5">
        <v>26.128399999999999</v>
      </c>
      <c r="E52" s="5">
        <v>22.1</v>
      </c>
      <c r="F52" s="5">
        <v>17.55</v>
      </c>
      <c r="G52" s="5">
        <v>0.22</v>
      </c>
      <c r="H52" s="5">
        <v>700</v>
      </c>
      <c r="I52" s="5">
        <v>1</v>
      </c>
      <c r="J52" s="5">
        <v>0</v>
      </c>
      <c r="K52" s="5">
        <v>27.972027972027973</v>
      </c>
      <c r="L52" s="5">
        <v>20.5449722691102</v>
      </c>
      <c r="M52" s="5">
        <v>31.878466361224984</v>
      </c>
      <c r="N52" s="5">
        <v>6.1490233904027001</v>
      </c>
      <c r="O52" s="5">
        <v>0.45202300000000001</v>
      </c>
      <c r="P52" t="s">
        <v>32</v>
      </c>
      <c r="Q52" t="s">
        <v>33</v>
      </c>
    </row>
    <row r="53" spans="1:17" x14ac:dyDescent="0.3">
      <c r="A53">
        <f t="shared" si="0"/>
        <v>49</v>
      </c>
      <c r="B53" s="5">
        <v>45.100099999999998</v>
      </c>
      <c r="C53" s="5">
        <v>5.3014999999999999</v>
      </c>
      <c r="D53" s="5">
        <v>26.128399999999999</v>
      </c>
      <c r="E53" s="5">
        <v>22.1</v>
      </c>
      <c r="F53" s="5">
        <v>17.55</v>
      </c>
      <c r="G53" s="5">
        <v>0.3</v>
      </c>
      <c r="H53" s="5">
        <v>700</v>
      </c>
      <c r="I53" s="5">
        <v>1</v>
      </c>
      <c r="J53" s="5">
        <v>0</v>
      </c>
      <c r="K53" s="5">
        <v>26.105810928013877</v>
      </c>
      <c r="L53" s="5">
        <v>21.010407632263661</v>
      </c>
      <c r="M53" s="5">
        <v>33.824804856895057</v>
      </c>
      <c r="N53" s="5">
        <v>5.3339115351257593</v>
      </c>
      <c r="O53" s="5">
        <v>0.53037999999999985</v>
      </c>
      <c r="P53" t="s">
        <v>32</v>
      </c>
      <c r="Q53" t="s">
        <v>33</v>
      </c>
    </row>
    <row r="54" spans="1:17" x14ac:dyDescent="0.3">
      <c r="A54">
        <f t="shared" si="0"/>
        <v>50</v>
      </c>
      <c r="B54" s="5">
        <v>45.100099999999998</v>
      </c>
      <c r="C54" s="5">
        <v>5.3014999999999999</v>
      </c>
      <c r="D54" s="5">
        <v>26.128399999999999</v>
      </c>
      <c r="E54" s="5">
        <v>22.1</v>
      </c>
      <c r="F54" s="5">
        <v>17.55</v>
      </c>
      <c r="G54" s="5">
        <v>0.3</v>
      </c>
      <c r="H54" s="5">
        <v>700</v>
      </c>
      <c r="I54" s="5">
        <v>1</v>
      </c>
      <c r="J54" s="5">
        <v>0.24</v>
      </c>
      <c r="K54" s="5">
        <v>32.859813084112147</v>
      </c>
      <c r="L54" s="5">
        <v>17.476635514018692</v>
      </c>
      <c r="M54" s="5">
        <v>33.158878504672892</v>
      </c>
      <c r="N54" s="5">
        <v>4.8411214953271031</v>
      </c>
      <c r="O54" s="5">
        <v>0.72760000000000002</v>
      </c>
      <c r="P54" t="s">
        <v>32</v>
      </c>
      <c r="Q54" t="s">
        <v>33</v>
      </c>
    </row>
    <row r="55" spans="1:17" x14ac:dyDescent="0.3">
      <c r="A55">
        <f t="shared" si="0"/>
        <v>51</v>
      </c>
      <c r="B55" s="5">
        <v>38.43</v>
      </c>
      <c r="C55" s="5">
        <v>2.97</v>
      </c>
      <c r="D55" s="5">
        <v>36.36</v>
      </c>
      <c r="E55" s="5">
        <v>9.9499999999999993</v>
      </c>
      <c r="F55" s="5">
        <v>19.52</v>
      </c>
      <c r="G55" s="5">
        <v>0.35</v>
      </c>
      <c r="H55" s="5">
        <v>750</v>
      </c>
      <c r="I55" s="5">
        <v>1</v>
      </c>
      <c r="J55" s="5">
        <v>0.5</v>
      </c>
      <c r="K55" s="5">
        <v>20.489977728285076</v>
      </c>
      <c r="L55" s="5">
        <v>28.507795100222719</v>
      </c>
      <c r="M55" s="5">
        <v>46.325167037861917</v>
      </c>
      <c r="N55" s="5">
        <v>4.6770601336302899</v>
      </c>
      <c r="O55" s="5">
        <v>1.92</v>
      </c>
      <c r="P55" t="s">
        <v>34</v>
      </c>
      <c r="Q55" t="s">
        <v>35</v>
      </c>
    </row>
    <row r="56" spans="1:17" x14ac:dyDescent="0.3">
      <c r="A56">
        <f t="shared" si="0"/>
        <v>52</v>
      </c>
      <c r="B56" s="5">
        <v>38.43</v>
      </c>
      <c r="C56" s="5">
        <v>2.97</v>
      </c>
      <c r="D56" s="5">
        <v>36.36</v>
      </c>
      <c r="E56" s="5">
        <v>9.9499999999999993</v>
      </c>
      <c r="F56" s="5">
        <v>19.52</v>
      </c>
      <c r="G56" s="5">
        <v>0.3</v>
      </c>
      <c r="H56" s="5">
        <v>800</v>
      </c>
      <c r="I56" s="5">
        <v>1</v>
      </c>
      <c r="J56" s="5">
        <v>0.5</v>
      </c>
      <c r="K56" s="5">
        <v>24.421052631578949</v>
      </c>
      <c r="L56" s="5">
        <v>30.94736842105263</v>
      </c>
      <c r="M56" s="5">
        <v>38.73684210526315</v>
      </c>
      <c r="N56" s="5">
        <v>5.8947368421052628</v>
      </c>
      <c r="O56" s="5">
        <v>1.96</v>
      </c>
      <c r="P56" t="s">
        <v>34</v>
      </c>
      <c r="Q56" t="s">
        <v>35</v>
      </c>
    </row>
    <row r="57" spans="1:17" x14ac:dyDescent="0.3">
      <c r="A57">
        <f t="shared" si="0"/>
        <v>53</v>
      </c>
      <c r="B57" s="5">
        <v>38.43</v>
      </c>
      <c r="C57" s="5">
        <v>2.97</v>
      </c>
      <c r="D57" s="5">
        <v>36.36</v>
      </c>
      <c r="E57" s="5">
        <v>9.9499999999999993</v>
      </c>
      <c r="F57" s="5">
        <v>19.52</v>
      </c>
      <c r="G57" s="5">
        <v>0.35</v>
      </c>
      <c r="H57" s="5">
        <v>800</v>
      </c>
      <c r="I57" s="5">
        <v>1</v>
      </c>
      <c r="J57" s="5">
        <v>0.2</v>
      </c>
      <c r="K57" s="5">
        <v>17.798594847775174</v>
      </c>
      <c r="L57" s="5">
        <v>32.084309133489462</v>
      </c>
      <c r="M57" s="5">
        <v>43.559718969555036</v>
      </c>
      <c r="N57" s="5">
        <v>6.5573770491803272</v>
      </c>
      <c r="O57" s="5">
        <v>2.0699999999999998</v>
      </c>
      <c r="P57" t="s">
        <v>34</v>
      </c>
      <c r="Q57" t="s">
        <v>35</v>
      </c>
    </row>
    <row r="58" spans="1:17" x14ac:dyDescent="0.3">
      <c r="A58">
        <f t="shared" si="0"/>
        <v>54</v>
      </c>
      <c r="B58" s="5">
        <v>38.43</v>
      </c>
      <c r="C58" s="5">
        <v>2.97</v>
      </c>
      <c r="D58" s="5">
        <v>36.36</v>
      </c>
      <c r="E58" s="5">
        <v>9.9499999999999993</v>
      </c>
      <c r="F58" s="5">
        <v>19.52</v>
      </c>
      <c r="G58" s="5">
        <v>0.35</v>
      </c>
      <c r="H58" s="5">
        <v>800</v>
      </c>
      <c r="I58" s="5">
        <v>1</v>
      </c>
      <c r="J58" s="5">
        <v>0.5</v>
      </c>
      <c r="K58" s="5">
        <v>22.269807280513916</v>
      </c>
      <c r="L58" s="5">
        <v>28.693790149892934</v>
      </c>
      <c r="M58" s="5">
        <v>43.468950749464668</v>
      </c>
      <c r="N58" s="5">
        <v>5.5674518201284791</v>
      </c>
      <c r="O58" s="5">
        <v>2.1</v>
      </c>
      <c r="P58" t="s">
        <v>34</v>
      </c>
      <c r="Q58" t="s">
        <v>35</v>
      </c>
    </row>
    <row r="59" spans="1:17" x14ac:dyDescent="0.3">
      <c r="A59">
        <f t="shared" si="0"/>
        <v>55</v>
      </c>
      <c r="B59" s="5">
        <v>38.43</v>
      </c>
      <c r="C59" s="5">
        <v>2.97</v>
      </c>
      <c r="D59" s="5">
        <v>36.36</v>
      </c>
      <c r="E59" s="5">
        <v>9.9499999999999993</v>
      </c>
      <c r="F59" s="5">
        <v>19.52</v>
      </c>
      <c r="G59" s="5">
        <v>0.4</v>
      </c>
      <c r="H59" s="5">
        <v>800</v>
      </c>
      <c r="I59" s="5">
        <v>1</v>
      </c>
      <c r="J59" s="5">
        <v>0.5</v>
      </c>
      <c r="K59" s="5">
        <v>21.098901098901099</v>
      </c>
      <c r="L59" s="5">
        <v>26.813186813186814</v>
      </c>
      <c r="M59" s="5">
        <v>47.252747252747255</v>
      </c>
      <c r="N59" s="5">
        <v>4.8351648351648358</v>
      </c>
      <c r="O59" s="5">
        <v>2.29</v>
      </c>
      <c r="P59" t="s">
        <v>34</v>
      </c>
      <c r="Q59" t="s">
        <v>35</v>
      </c>
    </row>
    <row r="60" spans="1:17" x14ac:dyDescent="0.3">
      <c r="A60">
        <f t="shared" si="0"/>
        <v>56</v>
      </c>
      <c r="B60" s="5">
        <v>38.43</v>
      </c>
      <c r="C60" s="5">
        <v>2.97</v>
      </c>
      <c r="D60" s="5">
        <v>36.36</v>
      </c>
      <c r="E60" s="5">
        <v>9.9499999999999993</v>
      </c>
      <c r="F60" s="5">
        <v>19.52</v>
      </c>
      <c r="G60" s="5">
        <v>0.35</v>
      </c>
      <c r="H60" s="5">
        <v>850</v>
      </c>
      <c r="I60" s="5">
        <v>1</v>
      </c>
      <c r="J60" s="5">
        <v>0.5</v>
      </c>
      <c r="K60" s="5">
        <v>25.518672199170123</v>
      </c>
      <c r="L60" s="5">
        <v>30.08298755186722</v>
      </c>
      <c r="M60" s="5">
        <v>38.174273858921154</v>
      </c>
      <c r="N60" s="5">
        <v>6.224066390041493</v>
      </c>
      <c r="O60" s="5">
        <v>2.31</v>
      </c>
      <c r="P60" t="s">
        <v>34</v>
      </c>
      <c r="Q60" t="s">
        <v>35</v>
      </c>
    </row>
    <row r="61" spans="1:17" x14ac:dyDescent="0.3">
      <c r="A61">
        <f t="shared" si="0"/>
        <v>57</v>
      </c>
      <c r="B61" s="5">
        <v>38.43</v>
      </c>
      <c r="C61" s="5">
        <v>2.97</v>
      </c>
      <c r="D61" s="5">
        <v>36.36</v>
      </c>
      <c r="E61" s="5">
        <v>9.9499999999999993</v>
      </c>
      <c r="F61" s="5">
        <v>19.52</v>
      </c>
      <c r="G61" s="5">
        <v>0.35</v>
      </c>
      <c r="H61" s="5">
        <v>800</v>
      </c>
      <c r="I61" s="5">
        <v>1</v>
      </c>
      <c r="J61" s="5">
        <v>0.8</v>
      </c>
      <c r="K61" s="5">
        <v>24.532224532224532</v>
      </c>
      <c r="L61" s="5">
        <v>26.403326403326403</v>
      </c>
      <c r="M61" s="5">
        <v>43.866943866943863</v>
      </c>
      <c r="N61" s="5">
        <v>5.1975051975051976</v>
      </c>
      <c r="O61" s="5">
        <v>2.13</v>
      </c>
      <c r="P61" t="s">
        <v>34</v>
      </c>
      <c r="Q61" t="s">
        <v>35</v>
      </c>
    </row>
    <row r="62" spans="1:17" x14ac:dyDescent="0.3">
      <c r="A62">
        <f t="shared" si="0"/>
        <v>58</v>
      </c>
      <c r="B62" s="5">
        <v>38.43</v>
      </c>
      <c r="C62" s="5">
        <v>2.97</v>
      </c>
      <c r="D62" s="5">
        <v>36.36</v>
      </c>
      <c r="E62" s="5">
        <v>9.9499999999999993</v>
      </c>
      <c r="F62" s="5">
        <v>19.52</v>
      </c>
      <c r="G62" s="5">
        <v>0.35</v>
      </c>
      <c r="H62" s="5">
        <v>850</v>
      </c>
      <c r="I62" s="5">
        <v>1</v>
      </c>
      <c r="J62" s="5">
        <v>0.8</v>
      </c>
      <c r="K62" s="5">
        <v>25.889328063241106</v>
      </c>
      <c r="L62" s="5">
        <v>28.063241106719367</v>
      </c>
      <c r="M62" s="5">
        <v>40.316205533596829</v>
      </c>
      <c r="N62" s="5">
        <v>5.7312252964426875</v>
      </c>
      <c r="O62" s="5">
        <v>2.34</v>
      </c>
      <c r="P62" t="s">
        <v>34</v>
      </c>
      <c r="Q62" t="s">
        <v>35</v>
      </c>
    </row>
    <row r="63" spans="1:17" x14ac:dyDescent="0.3">
      <c r="A63">
        <f t="shared" si="0"/>
        <v>59</v>
      </c>
      <c r="B63" s="5">
        <v>46.2607</v>
      </c>
      <c r="C63" s="5">
        <v>6.6773499999999997</v>
      </c>
      <c r="D63" s="5">
        <v>25.341899999999999</v>
      </c>
      <c r="E63" s="5">
        <v>6.4</v>
      </c>
      <c r="F63" s="5">
        <v>20.779900000000001</v>
      </c>
      <c r="G63" s="5">
        <v>0.25600000000000001</v>
      </c>
      <c r="H63" s="5">
        <v>849</v>
      </c>
      <c r="I63" s="5">
        <v>3</v>
      </c>
      <c r="J63" s="5">
        <v>0</v>
      </c>
      <c r="K63" s="5">
        <v>22.181532827622288</v>
      </c>
      <c r="L63" s="5">
        <v>25.477373790217108</v>
      </c>
      <c r="M63" s="5">
        <v>34.946377190687947</v>
      </c>
      <c r="N63" s="5">
        <v>10.933821606068534</v>
      </c>
      <c r="O63" s="5">
        <v>2.184760620364127</v>
      </c>
      <c r="P63" t="s">
        <v>36</v>
      </c>
      <c r="Q63" t="s">
        <v>37</v>
      </c>
    </row>
    <row r="64" spans="1:17" x14ac:dyDescent="0.3">
      <c r="A64">
        <f t="shared" si="0"/>
        <v>60</v>
      </c>
      <c r="B64" s="5">
        <v>46.2607</v>
      </c>
      <c r="C64" s="5">
        <v>6.6773499999999997</v>
      </c>
      <c r="D64" s="5">
        <v>25.341899999999999</v>
      </c>
      <c r="E64" s="5">
        <v>6.4</v>
      </c>
      <c r="F64" s="5">
        <v>20.779900000000001</v>
      </c>
      <c r="G64" s="5">
        <v>0.255</v>
      </c>
      <c r="H64" s="5">
        <v>852</v>
      </c>
      <c r="I64" s="5">
        <v>3</v>
      </c>
      <c r="J64" s="5">
        <v>0</v>
      </c>
      <c r="K64" s="5">
        <v>18.064024390243901</v>
      </c>
      <c r="L64" s="5">
        <v>25.355691056910569</v>
      </c>
      <c r="M64" s="5">
        <v>39.862804878048784</v>
      </c>
      <c r="N64" s="5">
        <v>10.670731707317074</v>
      </c>
      <c r="O64" s="5">
        <v>2.3331085637221851</v>
      </c>
      <c r="P64" t="s">
        <v>36</v>
      </c>
      <c r="Q64" t="s">
        <v>37</v>
      </c>
    </row>
    <row r="65" spans="1:17" x14ac:dyDescent="0.3">
      <c r="A65">
        <f t="shared" si="0"/>
        <v>61</v>
      </c>
      <c r="B65" s="5">
        <v>46.2607</v>
      </c>
      <c r="C65" s="5">
        <v>6.6773499999999997</v>
      </c>
      <c r="D65" s="5">
        <v>25.341899999999999</v>
      </c>
      <c r="E65" s="5">
        <v>6.4</v>
      </c>
      <c r="F65" s="5">
        <v>20.779900000000001</v>
      </c>
      <c r="G65" s="5">
        <v>0.27200000000000002</v>
      </c>
      <c r="H65" s="5">
        <v>869</v>
      </c>
      <c r="I65" s="5">
        <v>3</v>
      </c>
      <c r="J65" s="5">
        <v>0</v>
      </c>
      <c r="K65" s="5">
        <v>22.019306026611012</v>
      </c>
      <c r="L65" s="5">
        <v>27.315418732063659</v>
      </c>
      <c r="M65" s="5">
        <v>32.037568484216017</v>
      </c>
      <c r="N65" s="5">
        <v>11.922775893555961</v>
      </c>
      <c r="O65" s="5">
        <v>2.3196223870532706</v>
      </c>
      <c r="P65" t="s">
        <v>36</v>
      </c>
      <c r="Q65" t="s">
        <v>37</v>
      </c>
    </row>
    <row r="66" spans="1:17" x14ac:dyDescent="0.3">
      <c r="A66">
        <f t="shared" si="0"/>
        <v>62</v>
      </c>
      <c r="B66" s="5">
        <v>46.2607</v>
      </c>
      <c r="C66" s="5">
        <v>6.6773499999999997</v>
      </c>
      <c r="D66" s="5">
        <v>25.341899999999999</v>
      </c>
      <c r="E66" s="5">
        <v>6.4</v>
      </c>
      <c r="F66" s="5">
        <v>20.779900000000001</v>
      </c>
      <c r="G66" s="5">
        <v>0.30199999999999999</v>
      </c>
      <c r="H66" s="5">
        <v>879</v>
      </c>
      <c r="I66" s="5">
        <v>3</v>
      </c>
      <c r="J66" s="5">
        <v>0</v>
      </c>
      <c r="K66" s="5">
        <v>21.604614577871001</v>
      </c>
      <c r="L66" s="5">
        <v>27.267960146827477</v>
      </c>
      <c r="M66" s="5">
        <v>33.639223911903514</v>
      </c>
      <c r="N66" s="5">
        <v>11.405348715259569</v>
      </c>
      <c r="O66" s="5">
        <v>2.5758597437626438</v>
      </c>
      <c r="P66" t="s">
        <v>36</v>
      </c>
      <c r="Q66" t="s">
        <v>37</v>
      </c>
    </row>
    <row r="67" spans="1:17" x14ac:dyDescent="0.3">
      <c r="A67">
        <f t="shared" si="0"/>
        <v>63</v>
      </c>
      <c r="B67" s="5">
        <v>46.2607</v>
      </c>
      <c r="C67" s="5">
        <v>6.6773499999999997</v>
      </c>
      <c r="D67" s="5">
        <v>25.341899999999999</v>
      </c>
      <c r="E67" s="5">
        <v>6.4</v>
      </c>
      <c r="F67" s="5">
        <v>20.779900000000001</v>
      </c>
      <c r="G67" s="5">
        <v>0.318</v>
      </c>
      <c r="H67" s="5">
        <v>898</v>
      </c>
      <c r="I67" s="5">
        <v>3</v>
      </c>
      <c r="J67" s="5">
        <v>0</v>
      </c>
      <c r="K67" s="5">
        <v>17.996949669547533</v>
      </c>
      <c r="L67" s="5">
        <v>32.358922216573461</v>
      </c>
      <c r="M67" s="5">
        <v>35.688866293848498</v>
      </c>
      <c r="N67" s="5">
        <v>8.4646670055922719</v>
      </c>
      <c r="O67" s="5">
        <v>2.7511800404585305</v>
      </c>
      <c r="P67" t="s">
        <v>36</v>
      </c>
      <c r="Q67" t="s">
        <v>37</v>
      </c>
    </row>
    <row r="68" spans="1:17" x14ac:dyDescent="0.3">
      <c r="A68">
        <f t="shared" si="0"/>
        <v>64</v>
      </c>
      <c r="B68" s="5">
        <v>46.2607</v>
      </c>
      <c r="C68" s="5">
        <v>6.6773499999999997</v>
      </c>
      <c r="D68" s="5">
        <v>25.341899999999999</v>
      </c>
      <c r="E68" s="5">
        <v>6.4</v>
      </c>
      <c r="F68" s="5">
        <v>20.779900000000001</v>
      </c>
      <c r="G68" s="5">
        <v>0.33200000000000002</v>
      </c>
      <c r="H68" s="5">
        <v>932</v>
      </c>
      <c r="I68" s="5">
        <v>3</v>
      </c>
      <c r="J68" s="5">
        <v>0</v>
      </c>
      <c r="K68" s="5">
        <v>21.701045493077139</v>
      </c>
      <c r="L68" s="5">
        <v>29.895450692285955</v>
      </c>
      <c r="M68" s="5">
        <v>32.947160214749928</v>
      </c>
      <c r="N68" s="5">
        <v>10.680983328623904</v>
      </c>
      <c r="O68" s="5">
        <v>2.6972353337828729</v>
      </c>
      <c r="P68" t="s">
        <v>36</v>
      </c>
      <c r="Q68" t="s">
        <v>37</v>
      </c>
    </row>
    <row r="69" spans="1:17" x14ac:dyDescent="0.3">
      <c r="A69">
        <f t="shared" si="0"/>
        <v>65</v>
      </c>
      <c r="B69">
        <v>41.395921908893705</v>
      </c>
      <c r="C69">
        <v>5.4408242950108452</v>
      </c>
      <c r="D69">
        <v>46.513340563991321</v>
      </c>
      <c r="E69" s="5">
        <v>7.8</v>
      </c>
      <c r="F69">
        <v>4.8806941431670277</v>
      </c>
      <c r="G69" s="5">
        <v>0.25</v>
      </c>
      <c r="H69" s="5">
        <v>650</v>
      </c>
      <c r="I69" s="5">
        <v>1</v>
      </c>
      <c r="J69" s="5">
        <v>0</v>
      </c>
      <c r="K69">
        <v>19.614921780986766</v>
      </c>
      <c r="L69">
        <v>30.32490974729242</v>
      </c>
      <c r="M69">
        <v>44.283995186522262</v>
      </c>
      <c r="N69">
        <v>5.7761732851985563</v>
      </c>
      <c r="O69">
        <v>1.325242718446602</v>
      </c>
      <c r="P69" t="s">
        <v>38</v>
      </c>
      <c r="Q69" t="s">
        <v>39</v>
      </c>
    </row>
    <row r="70" spans="1:17" x14ac:dyDescent="0.3">
      <c r="A70">
        <f t="shared" si="0"/>
        <v>66</v>
      </c>
      <c r="B70">
        <v>41.395921908893705</v>
      </c>
      <c r="C70">
        <v>5.4408242950108452</v>
      </c>
      <c r="D70">
        <v>46.513340563991321</v>
      </c>
      <c r="E70" s="5">
        <v>7.8</v>
      </c>
      <c r="F70">
        <v>4.8806941431670277</v>
      </c>
      <c r="G70" s="5">
        <v>0.25</v>
      </c>
      <c r="H70" s="5">
        <v>750</v>
      </c>
      <c r="I70" s="5">
        <v>1</v>
      </c>
      <c r="J70" s="5">
        <v>0</v>
      </c>
      <c r="K70">
        <v>15.491452991452993</v>
      </c>
      <c r="L70">
        <v>31.623931623931625</v>
      </c>
      <c r="M70">
        <v>44.551282051282058</v>
      </c>
      <c r="N70">
        <v>8.3333333333333339</v>
      </c>
      <c r="O70">
        <v>1.4854368932038835</v>
      </c>
      <c r="P70" t="s">
        <v>38</v>
      </c>
      <c r="Q70" t="s">
        <v>39</v>
      </c>
    </row>
    <row r="71" spans="1:17" x14ac:dyDescent="0.3">
      <c r="A71">
        <f t="shared" ref="A71:A134" si="1">A70+1</f>
        <v>67</v>
      </c>
      <c r="B71">
        <v>41.395921908893705</v>
      </c>
      <c r="C71">
        <v>5.4408242950108452</v>
      </c>
      <c r="D71">
        <v>46.513340563991321</v>
      </c>
      <c r="E71" s="5">
        <v>7.8</v>
      </c>
      <c r="F71">
        <v>4.8806941431670277</v>
      </c>
      <c r="G71" s="5">
        <v>0.25</v>
      </c>
      <c r="H71" s="5">
        <v>850</v>
      </c>
      <c r="I71" s="5">
        <v>1</v>
      </c>
      <c r="J71" s="5">
        <v>0</v>
      </c>
      <c r="K71">
        <v>16.045845272206304</v>
      </c>
      <c r="L71">
        <v>36.198662846227315</v>
      </c>
      <c r="M71">
        <v>40.687679083094558</v>
      </c>
      <c r="N71">
        <v>7.0678127984718238</v>
      </c>
      <c r="O71">
        <v>1.6747572815533982</v>
      </c>
      <c r="P71" t="s">
        <v>38</v>
      </c>
      <c r="Q71" t="s">
        <v>39</v>
      </c>
    </row>
    <row r="72" spans="1:17" x14ac:dyDescent="0.3">
      <c r="A72">
        <f t="shared" si="1"/>
        <v>68</v>
      </c>
      <c r="B72">
        <v>41.395921908893705</v>
      </c>
      <c r="C72">
        <v>5.4408242950108452</v>
      </c>
      <c r="D72">
        <v>46.513340563991321</v>
      </c>
      <c r="E72" s="5">
        <v>7.8</v>
      </c>
      <c r="F72">
        <v>4.8806941431670277</v>
      </c>
      <c r="G72" s="5">
        <v>0.25</v>
      </c>
      <c r="H72" s="5">
        <v>950</v>
      </c>
      <c r="I72" s="5">
        <v>1</v>
      </c>
      <c r="J72" s="5">
        <v>0</v>
      </c>
      <c r="K72">
        <v>20.297951582867789</v>
      </c>
      <c r="L72">
        <v>38.547486033519554</v>
      </c>
      <c r="M72">
        <v>34.543761638733713</v>
      </c>
      <c r="N72">
        <v>6.6108007448789579</v>
      </c>
      <c r="O72">
        <v>1.9223300970873787</v>
      </c>
      <c r="P72" t="s">
        <v>38</v>
      </c>
      <c r="Q72" t="s">
        <v>39</v>
      </c>
    </row>
    <row r="73" spans="1:17" x14ac:dyDescent="0.3">
      <c r="A73">
        <f t="shared" si="1"/>
        <v>69</v>
      </c>
      <c r="B73">
        <v>41.395921908893705</v>
      </c>
      <c r="C73">
        <v>5.4408242950108452</v>
      </c>
      <c r="D73">
        <v>46.513340563991321</v>
      </c>
      <c r="E73" s="5">
        <v>7.8</v>
      </c>
      <c r="F73">
        <v>4.8806941431670277</v>
      </c>
      <c r="G73" s="5">
        <v>0.25</v>
      </c>
      <c r="H73" s="5">
        <v>1050</v>
      </c>
      <c r="I73" s="5">
        <v>1</v>
      </c>
      <c r="J73" s="5">
        <v>0</v>
      </c>
      <c r="K73">
        <v>25.160109789569994</v>
      </c>
      <c r="L73">
        <v>40.073193046660577</v>
      </c>
      <c r="M73">
        <v>28.270814272644103</v>
      </c>
      <c r="N73">
        <v>6.4958828911253432</v>
      </c>
      <c r="O73">
        <v>2.0242718446601944</v>
      </c>
      <c r="P73" t="s">
        <v>38</v>
      </c>
      <c r="Q73" t="s">
        <v>39</v>
      </c>
    </row>
    <row r="74" spans="1:17" x14ac:dyDescent="0.3">
      <c r="A74">
        <f t="shared" si="1"/>
        <v>70</v>
      </c>
      <c r="B74">
        <v>41.395921908893705</v>
      </c>
      <c r="C74">
        <v>5.4408242950108452</v>
      </c>
      <c r="D74">
        <v>46.513340563991321</v>
      </c>
      <c r="E74" s="5">
        <v>7.8</v>
      </c>
      <c r="F74">
        <v>4.8806941431670277</v>
      </c>
      <c r="G74" s="5">
        <v>0.17</v>
      </c>
      <c r="H74" s="5">
        <v>770</v>
      </c>
      <c r="I74" s="5">
        <v>1</v>
      </c>
      <c r="J74" s="5">
        <v>0</v>
      </c>
      <c r="K74">
        <v>16.5083135391924</v>
      </c>
      <c r="L74">
        <v>35.273159144893114</v>
      </c>
      <c r="M74">
        <v>40.855106888361043</v>
      </c>
      <c r="N74">
        <v>7.3634204275534447</v>
      </c>
      <c r="O74">
        <v>1.1882352941176471</v>
      </c>
      <c r="P74" t="s">
        <v>38</v>
      </c>
      <c r="Q74" t="s">
        <v>39</v>
      </c>
    </row>
    <row r="75" spans="1:17" x14ac:dyDescent="0.3">
      <c r="A75">
        <f t="shared" si="1"/>
        <v>71</v>
      </c>
      <c r="B75">
        <v>41.395921908893705</v>
      </c>
      <c r="C75">
        <v>5.4408242950108452</v>
      </c>
      <c r="D75">
        <v>46.513340563991321</v>
      </c>
      <c r="E75" s="5">
        <v>7.8</v>
      </c>
      <c r="F75">
        <v>4.8806941431670277</v>
      </c>
      <c r="G75" s="5">
        <v>0.21</v>
      </c>
      <c r="H75" s="5">
        <v>770</v>
      </c>
      <c r="I75" s="5">
        <v>1</v>
      </c>
      <c r="J75" s="5">
        <v>0</v>
      </c>
      <c r="K75">
        <v>12.078977932636469</v>
      </c>
      <c r="L75">
        <v>36.353077816492451</v>
      </c>
      <c r="M75">
        <v>42.27642276422764</v>
      </c>
      <c r="N75">
        <v>9.2915214866434379</v>
      </c>
      <c r="O75">
        <v>1.3294117647058823</v>
      </c>
      <c r="P75" t="s">
        <v>38</v>
      </c>
      <c r="Q75" t="s">
        <v>39</v>
      </c>
    </row>
    <row r="76" spans="1:17" x14ac:dyDescent="0.3">
      <c r="A76">
        <f t="shared" si="1"/>
        <v>72</v>
      </c>
      <c r="B76">
        <v>41.395921908893705</v>
      </c>
      <c r="C76">
        <v>5.4408242950108452</v>
      </c>
      <c r="D76">
        <v>46.513340563991321</v>
      </c>
      <c r="E76" s="5">
        <v>7.8</v>
      </c>
      <c r="F76">
        <v>4.8806941431670277</v>
      </c>
      <c r="G76" s="5">
        <v>0.28000000000000003</v>
      </c>
      <c r="H76" s="5">
        <v>770</v>
      </c>
      <c r="I76" s="5">
        <v>1</v>
      </c>
      <c r="J76" s="5">
        <v>0</v>
      </c>
      <c r="K76">
        <v>11.910669975186105</v>
      </c>
      <c r="L76">
        <v>34.24317617866005</v>
      </c>
      <c r="M76">
        <v>46.277915632754343</v>
      </c>
      <c r="N76">
        <v>7.5682382133995043</v>
      </c>
      <c r="O76">
        <v>1.6</v>
      </c>
      <c r="P76" t="s">
        <v>38</v>
      </c>
      <c r="Q76" t="s">
        <v>39</v>
      </c>
    </row>
    <row r="77" spans="1:17" x14ac:dyDescent="0.3">
      <c r="A77">
        <f t="shared" si="1"/>
        <v>73</v>
      </c>
      <c r="B77">
        <v>41.395921908893705</v>
      </c>
      <c r="C77">
        <v>5.4408242950108452</v>
      </c>
      <c r="D77">
        <v>46.513340563991321</v>
      </c>
      <c r="E77" s="5">
        <v>7.8</v>
      </c>
      <c r="F77">
        <v>4.8806941431670277</v>
      </c>
      <c r="G77" s="5">
        <v>0.32</v>
      </c>
      <c r="H77" s="5">
        <v>770</v>
      </c>
      <c r="I77" s="5">
        <v>1</v>
      </c>
      <c r="J77" s="5">
        <v>0</v>
      </c>
      <c r="K77">
        <v>9.5785440613026811</v>
      </c>
      <c r="L77">
        <v>33.077905491698594</v>
      </c>
      <c r="M77">
        <v>50.702426564495518</v>
      </c>
      <c r="N77">
        <v>6.6411238825031926</v>
      </c>
      <c r="O77">
        <v>1.7529411764705882</v>
      </c>
      <c r="P77" t="s">
        <v>38</v>
      </c>
      <c r="Q77" t="s">
        <v>39</v>
      </c>
    </row>
    <row r="78" spans="1:17" x14ac:dyDescent="0.3">
      <c r="A78">
        <f t="shared" si="1"/>
        <v>74</v>
      </c>
      <c r="B78">
        <v>44.749414519906324</v>
      </c>
      <c r="C78">
        <v>5.8026932084309131</v>
      </c>
      <c r="D78">
        <v>45.286885245901637</v>
      </c>
      <c r="E78" s="5">
        <v>14.6</v>
      </c>
      <c r="F78">
        <v>0.46838407494145196</v>
      </c>
      <c r="G78" s="5">
        <v>0.25</v>
      </c>
      <c r="H78" s="5">
        <v>650</v>
      </c>
      <c r="I78" s="5">
        <v>1</v>
      </c>
      <c r="J78" s="5">
        <v>0</v>
      </c>
      <c r="K78">
        <v>15.417558886509633</v>
      </c>
      <c r="L78">
        <v>37.901498929336185</v>
      </c>
      <c r="M78">
        <v>39.079229122055665</v>
      </c>
      <c r="N78">
        <v>7.6017130620985007</v>
      </c>
      <c r="O78">
        <v>1.2918660287081341</v>
      </c>
      <c r="P78" t="s">
        <v>40</v>
      </c>
      <c r="Q78" t="s">
        <v>39</v>
      </c>
    </row>
    <row r="79" spans="1:17" x14ac:dyDescent="0.3">
      <c r="A79">
        <f t="shared" si="1"/>
        <v>75</v>
      </c>
      <c r="B79">
        <v>44.749414519906324</v>
      </c>
      <c r="C79">
        <v>5.8026932084309131</v>
      </c>
      <c r="D79">
        <v>45.286885245901637</v>
      </c>
      <c r="E79" s="5">
        <v>14.6</v>
      </c>
      <c r="F79">
        <v>0.46838407494145196</v>
      </c>
      <c r="G79" s="5">
        <v>0.25</v>
      </c>
      <c r="H79" s="5">
        <v>750</v>
      </c>
      <c r="I79" s="5">
        <v>1</v>
      </c>
      <c r="J79" s="5">
        <v>0</v>
      </c>
      <c r="K79">
        <v>14.742268041237114</v>
      </c>
      <c r="L79">
        <v>35.979381443298969</v>
      </c>
      <c r="M79">
        <v>43.195876288659797</v>
      </c>
      <c r="N79">
        <v>6.0824742268041243</v>
      </c>
      <c r="O79">
        <v>1.7081339712918662</v>
      </c>
      <c r="P79" t="s">
        <v>40</v>
      </c>
      <c r="Q79" t="s">
        <v>39</v>
      </c>
    </row>
    <row r="80" spans="1:17" x14ac:dyDescent="0.3">
      <c r="A80">
        <f t="shared" si="1"/>
        <v>76</v>
      </c>
      <c r="B80">
        <v>44.749414519906324</v>
      </c>
      <c r="C80">
        <v>5.8026932084309131</v>
      </c>
      <c r="D80">
        <v>45.286885245901637</v>
      </c>
      <c r="E80" s="5">
        <v>14.6</v>
      </c>
      <c r="F80">
        <v>0.46838407494145196</v>
      </c>
      <c r="G80" s="5">
        <v>0.25</v>
      </c>
      <c r="H80" s="5">
        <v>850</v>
      </c>
      <c r="I80" s="5">
        <v>1</v>
      </c>
      <c r="J80" s="5">
        <v>0</v>
      </c>
      <c r="K80">
        <v>17.674418604651166</v>
      </c>
      <c r="L80">
        <v>32.837209302325583</v>
      </c>
      <c r="M80">
        <v>42.97674418604651</v>
      </c>
      <c r="N80">
        <v>6.5116279069767442</v>
      </c>
      <c r="O80">
        <v>1.7799043062200957</v>
      </c>
      <c r="P80" t="s">
        <v>40</v>
      </c>
      <c r="Q80" t="s">
        <v>39</v>
      </c>
    </row>
    <row r="81" spans="1:17" x14ac:dyDescent="0.3">
      <c r="A81">
        <f t="shared" si="1"/>
        <v>77</v>
      </c>
      <c r="B81">
        <v>44.749414519906324</v>
      </c>
      <c r="C81">
        <v>5.8026932084309131</v>
      </c>
      <c r="D81">
        <v>45.286885245901637</v>
      </c>
      <c r="E81" s="5">
        <v>14.6</v>
      </c>
      <c r="F81">
        <v>0.46838407494145196</v>
      </c>
      <c r="G81" s="5">
        <v>0.25</v>
      </c>
      <c r="H81" s="5">
        <v>950</v>
      </c>
      <c r="I81" s="5">
        <v>1</v>
      </c>
      <c r="J81" s="5">
        <v>0</v>
      </c>
      <c r="K81">
        <v>29.697986577181204</v>
      </c>
      <c r="L81">
        <v>31.208053691275168</v>
      </c>
      <c r="M81">
        <v>33.13758389261745</v>
      </c>
      <c r="N81">
        <v>5.9563758389261743</v>
      </c>
      <c r="O81">
        <v>1.8373205741626795</v>
      </c>
      <c r="P81" t="s">
        <v>40</v>
      </c>
      <c r="Q81" t="s">
        <v>39</v>
      </c>
    </row>
    <row r="82" spans="1:17" x14ac:dyDescent="0.3">
      <c r="A82">
        <f t="shared" si="1"/>
        <v>78</v>
      </c>
      <c r="B82">
        <v>44.749414519906324</v>
      </c>
      <c r="C82">
        <v>5.8026932084309131</v>
      </c>
      <c r="D82">
        <v>45.286885245901637</v>
      </c>
      <c r="E82" s="5">
        <v>14.6</v>
      </c>
      <c r="F82">
        <v>0.46838407494145196</v>
      </c>
      <c r="G82" s="5">
        <v>0.25</v>
      </c>
      <c r="H82" s="5">
        <v>1050</v>
      </c>
      <c r="I82" s="5">
        <v>1</v>
      </c>
      <c r="J82" s="5">
        <v>0</v>
      </c>
      <c r="K82">
        <v>36.455893832943005</v>
      </c>
      <c r="L82">
        <v>32.943013270882126</v>
      </c>
      <c r="M82">
        <v>25.370804059328652</v>
      </c>
      <c r="N82">
        <v>5.2302888368462135</v>
      </c>
      <c r="O82">
        <v>1.9808612440191389</v>
      </c>
      <c r="P82" t="s">
        <v>40</v>
      </c>
      <c r="Q82" t="s">
        <v>39</v>
      </c>
    </row>
    <row r="83" spans="1:17" x14ac:dyDescent="0.3">
      <c r="A83">
        <f t="shared" si="1"/>
        <v>79</v>
      </c>
      <c r="B83" s="5">
        <v>85.170299999999997</v>
      </c>
      <c r="C83" s="5">
        <v>13.8277</v>
      </c>
      <c r="D83" s="5">
        <v>0</v>
      </c>
      <c r="E83" s="5">
        <v>0.2</v>
      </c>
      <c r="F83" s="5">
        <v>1.002</v>
      </c>
      <c r="G83" s="5">
        <v>0.22</v>
      </c>
      <c r="H83" s="5">
        <v>867</v>
      </c>
      <c r="I83" s="5">
        <v>1</v>
      </c>
      <c r="J83" s="5">
        <v>0</v>
      </c>
      <c r="K83" s="5">
        <v>26.912181303116149</v>
      </c>
      <c r="L83" s="5">
        <v>6.7988668555240794</v>
      </c>
      <c r="M83" s="5">
        <v>27.195467422096318</v>
      </c>
      <c r="N83" s="5">
        <v>25.779036827195469</v>
      </c>
      <c r="O83" s="5">
        <v>3.3522265849300981</v>
      </c>
      <c r="P83" t="s">
        <v>41</v>
      </c>
      <c r="Q83" t="s">
        <v>42</v>
      </c>
    </row>
    <row r="84" spans="1:17" x14ac:dyDescent="0.3">
      <c r="A84">
        <f t="shared" si="1"/>
        <v>80</v>
      </c>
      <c r="B84" s="5">
        <v>85.170299999999997</v>
      </c>
      <c r="C84" s="5">
        <v>13.8277</v>
      </c>
      <c r="D84" s="5">
        <v>0</v>
      </c>
      <c r="E84" s="5">
        <v>0.2</v>
      </c>
      <c r="F84" s="5">
        <v>1.002</v>
      </c>
      <c r="G84" s="5">
        <v>0.31</v>
      </c>
      <c r="H84" s="5">
        <v>898</v>
      </c>
      <c r="I84" s="5">
        <v>1</v>
      </c>
      <c r="J84" s="5">
        <v>0</v>
      </c>
      <c r="K84" s="5">
        <v>25.3125</v>
      </c>
      <c r="L84" s="5">
        <v>6.8750000000000009</v>
      </c>
      <c r="M84" s="5">
        <v>32.5</v>
      </c>
      <c r="N84" s="5">
        <v>22.1875</v>
      </c>
      <c r="O84" s="5">
        <v>4.3956042176447099</v>
      </c>
      <c r="P84" t="s">
        <v>41</v>
      </c>
      <c r="Q84" t="s">
        <v>42</v>
      </c>
    </row>
    <row r="85" spans="1:17" x14ac:dyDescent="0.3">
      <c r="A85">
        <f t="shared" si="1"/>
        <v>81</v>
      </c>
      <c r="B85" s="5">
        <v>85.170299999999997</v>
      </c>
      <c r="C85" s="5">
        <v>13.8277</v>
      </c>
      <c r="D85" s="5">
        <v>0</v>
      </c>
      <c r="E85" s="5">
        <v>0.2</v>
      </c>
      <c r="F85" s="5">
        <v>1.002</v>
      </c>
      <c r="G85" s="5">
        <v>0.2</v>
      </c>
      <c r="H85" s="5">
        <v>845</v>
      </c>
      <c r="I85" s="5">
        <v>1</v>
      </c>
      <c r="J85" s="5">
        <v>0</v>
      </c>
      <c r="K85" s="5">
        <v>25.348189415041787</v>
      </c>
      <c r="L85" s="5">
        <v>7.7994428969359353</v>
      </c>
      <c r="M85" s="5">
        <v>25.348189415041787</v>
      </c>
      <c r="N85" s="5">
        <v>28.96935933147633</v>
      </c>
      <c r="O85" s="5">
        <v>2.9980012110684697</v>
      </c>
      <c r="P85" t="s">
        <v>41</v>
      </c>
      <c r="Q85" t="s">
        <v>42</v>
      </c>
    </row>
    <row r="86" spans="1:17" x14ac:dyDescent="0.3">
      <c r="A86">
        <f t="shared" si="1"/>
        <v>82</v>
      </c>
      <c r="B86" s="5">
        <v>85.170299999999997</v>
      </c>
      <c r="C86" s="5">
        <v>13.8277</v>
      </c>
      <c r="D86" s="5">
        <v>0</v>
      </c>
      <c r="E86" s="5">
        <v>0.2</v>
      </c>
      <c r="F86" s="5">
        <v>1.002</v>
      </c>
      <c r="G86" s="5">
        <v>0.27</v>
      </c>
      <c r="H86" s="5">
        <v>807</v>
      </c>
      <c r="I86" s="5">
        <v>3</v>
      </c>
      <c r="J86" s="5">
        <v>0</v>
      </c>
      <c r="K86" s="5">
        <v>52.745098039215677</v>
      </c>
      <c r="L86" s="5">
        <v>39.2156862745098</v>
      </c>
      <c r="M86" s="5">
        <v>2.7450980392156858</v>
      </c>
      <c r="N86" s="5">
        <v>4.3137254901960782</v>
      </c>
      <c r="O86" s="5">
        <v>5.4936154736312641</v>
      </c>
      <c r="P86" t="s">
        <v>41</v>
      </c>
      <c r="Q86" t="s">
        <v>42</v>
      </c>
    </row>
    <row r="87" spans="1:17" x14ac:dyDescent="0.3">
      <c r="A87">
        <f t="shared" si="1"/>
        <v>83</v>
      </c>
      <c r="B87" s="5">
        <v>85.170299999999997</v>
      </c>
      <c r="C87" s="5">
        <v>13.8277</v>
      </c>
      <c r="D87" s="5">
        <v>0</v>
      </c>
      <c r="E87" s="5">
        <v>0.2</v>
      </c>
      <c r="F87" s="5">
        <v>1.002</v>
      </c>
      <c r="G87" s="5">
        <v>0.2</v>
      </c>
      <c r="H87" s="5">
        <v>819</v>
      </c>
      <c r="I87" s="5">
        <v>3</v>
      </c>
      <c r="J87" s="5">
        <v>0</v>
      </c>
      <c r="K87" s="5">
        <v>54.826958105646639</v>
      </c>
      <c r="L87" s="5">
        <v>33.515482695810569</v>
      </c>
      <c r="M87" s="5">
        <v>2.9143897996357016</v>
      </c>
      <c r="N87" s="5">
        <v>6.1930783242258665</v>
      </c>
      <c r="O87" s="5">
        <v>4.2190494776008096</v>
      </c>
      <c r="P87" t="s">
        <v>41</v>
      </c>
      <c r="Q87" t="s">
        <v>42</v>
      </c>
    </row>
    <row r="88" spans="1:17" x14ac:dyDescent="0.3">
      <c r="A88">
        <f t="shared" si="1"/>
        <v>84</v>
      </c>
      <c r="B88" s="5">
        <v>85.170299999999997</v>
      </c>
      <c r="C88" s="5">
        <v>13.8277</v>
      </c>
      <c r="D88" s="5">
        <v>0</v>
      </c>
      <c r="E88" s="5">
        <v>0.2</v>
      </c>
      <c r="F88" s="5">
        <v>1.002</v>
      </c>
      <c r="G88" s="5">
        <v>0.28000000000000003</v>
      </c>
      <c r="H88" s="5">
        <v>816</v>
      </c>
      <c r="I88" s="5">
        <v>3</v>
      </c>
      <c r="J88" s="5">
        <v>0</v>
      </c>
      <c r="K88" s="5">
        <v>52.621359223300971</v>
      </c>
      <c r="L88" s="5">
        <v>39.029126213592235</v>
      </c>
      <c r="M88" s="5">
        <v>3.3009708737864076</v>
      </c>
      <c r="N88" s="5">
        <v>4.0776699029126213</v>
      </c>
      <c r="O88" s="5">
        <v>5.7178446766366209</v>
      </c>
      <c r="P88" t="s">
        <v>41</v>
      </c>
      <c r="Q88" t="s">
        <v>42</v>
      </c>
    </row>
    <row r="89" spans="1:17" x14ac:dyDescent="0.3">
      <c r="A89">
        <f t="shared" si="1"/>
        <v>85</v>
      </c>
      <c r="B89" s="5">
        <v>85.170299999999997</v>
      </c>
      <c r="C89" s="5">
        <v>13.8277</v>
      </c>
      <c r="D89" s="5">
        <v>0</v>
      </c>
      <c r="E89" s="5">
        <v>0.2</v>
      </c>
      <c r="F89" s="5">
        <v>1.002</v>
      </c>
      <c r="G89" s="5">
        <v>0.31</v>
      </c>
      <c r="H89" s="5">
        <v>825</v>
      </c>
      <c r="I89" s="5">
        <v>3</v>
      </c>
      <c r="J89" s="5">
        <v>0</v>
      </c>
      <c r="K89" s="5">
        <v>48.289738430583505</v>
      </c>
      <c r="L89" s="5">
        <v>39.235412474849099</v>
      </c>
      <c r="M89" s="5">
        <v>6.6398390342052318</v>
      </c>
      <c r="N89" s="5">
        <v>4.0241448692152924</v>
      </c>
      <c r="O89" s="5">
        <v>6.0728742480617708</v>
      </c>
      <c r="P89" t="s">
        <v>41</v>
      </c>
      <c r="Q89" t="s">
        <v>42</v>
      </c>
    </row>
    <row r="90" spans="1:17" x14ac:dyDescent="0.3">
      <c r="A90">
        <f t="shared" si="1"/>
        <v>86</v>
      </c>
      <c r="B90" s="5">
        <v>85.170299999999997</v>
      </c>
      <c r="C90" s="5">
        <v>13.8277</v>
      </c>
      <c r="D90" s="5">
        <v>0</v>
      </c>
      <c r="E90" s="5">
        <v>0.2</v>
      </c>
      <c r="F90" s="5">
        <v>1.002</v>
      </c>
      <c r="G90" s="5">
        <v>0.21</v>
      </c>
      <c r="H90" s="5">
        <v>825</v>
      </c>
      <c r="I90" s="5">
        <v>3</v>
      </c>
      <c r="J90" s="5">
        <v>0</v>
      </c>
      <c r="K90" s="5">
        <v>55.39568345323741</v>
      </c>
      <c r="L90" s="5">
        <v>34.172661870503596</v>
      </c>
      <c r="M90" s="5">
        <v>2.8776978417266186</v>
      </c>
      <c r="N90" s="5">
        <v>5.7553956834532372</v>
      </c>
      <c r="O90" s="5">
        <v>4.8582993984494163</v>
      </c>
      <c r="P90" t="s">
        <v>41</v>
      </c>
      <c r="Q90" t="s">
        <v>42</v>
      </c>
    </row>
    <row r="91" spans="1:17" x14ac:dyDescent="0.3">
      <c r="A91">
        <f t="shared" si="1"/>
        <v>87</v>
      </c>
      <c r="B91" s="5">
        <v>85.170299999999997</v>
      </c>
      <c r="C91" s="5">
        <v>13.8277</v>
      </c>
      <c r="D91" s="5">
        <v>0</v>
      </c>
      <c r="E91" s="5">
        <v>0.2</v>
      </c>
      <c r="F91" s="5">
        <v>1.002</v>
      </c>
      <c r="G91" s="5">
        <v>0.28999999999999998</v>
      </c>
      <c r="H91" s="5">
        <v>850</v>
      </c>
      <c r="I91" s="5">
        <v>3</v>
      </c>
      <c r="J91" s="5">
        <v>0</v>
      </c>
      <c r="K91" s="5">
        <v>55.113636363636367</v>
      </c>
      <c r="L91" s="5">
        <v>39.583333333333336</v>
      </c>
      <c r="M91" s="5">
        <v>2.2727272727272729</v>
      </c>
      <c r="N91" s="5">
        <v>2.8409090909090913</v>
      </c>
      <c r="O91" s="5">
        <v>6.262651568313701</v>
      </c>
      <c r="P91" t="s">
        <v>41</v>
      </c>
      <c r="Q91" t="s">
        <v>42</v>
      </c>
    </row>
    <row r="92" spans="1:17" x14ac:dyDescent="0.3">
      <c r="A92">
        <f t="shared" si="1"/>
        <v>88</v>
      </c>
      <c r="B92" s="5">
        <v>84.653999999999996</v>
      </c>
      <c r="C92" s="5">
        <v>14.0421</v>
      </c>
      <c r="D92" s="5">
        <v>0</v>
      </c>
      <c r="E92" s="5">
        <v>0.3</v>
      </c>
      <c r="F92" s="5">
        <v>1.3039000000000001</v>
      </c>
      <c r="G92" s="5">
        <v>0.23</v>
      </c>
      <c r="H92" s="5">
        <v>818</v>
      </c>
      <c r="I92" s="5">
        <v>3</v>
      </c>
      <c r="J92" s="5">
        <v>0</v>
      </c>
      <c r="K92" s="5">
        <v>56.877323420074362</v>
      </c>
      <c r="L92" s="5">
        <v>32.527881040892197</v>
      </c>
      <c r="M92" s="5">
        <v>4.2750929368029746</v>
      </c>
      <c r="N92" s="5">
        <v>5.2044609665427517</v>
      </c>
      <c r="O92" s="5">
        <v>4.9840927265732802</v>
      </c>
      <c r="P92" t="s">
        <v>43</v>
      </c>
      <c r="Q92" t="s">
        <v>42</v>
      </c>
    </row>
    <row r="93" spans="1:17" x14ac:dyDescent="0.3">
      <c r="A93">
        <f t="shared" si="1"/>
        <v>89</v>
      </c>
      <c r="B93" s="5">
        <v>84.653999999999996</v>
      </c>
      <c r="C93" s="5">
        <v>14.0421</v>
      </c>
      <c r="D93" s="5">
        <v>0</v>
      </c>
      <c r="E93" s="5">
        <v>0.3</v>
      </c>
      <c r="F93" s="5">
        <v>1.3039000000000001</v>
      </c>
      <c r="G93" s="5">
        <v>0.27</v>
      </c>
      <c r="H93" s="5">
        <v>831</v>
      </c>
      <c r="I93" s="5">
        <v>3</v>
      </c>
      <c r="J93" s="5">
        <v>0</v>
      </c>
      <c r="K93" s="5">
        <v>52.611940298507463</v>
      </c>
      <c r="L93" s="5">
        <v>39.365671641791046</v>
      </c>
      <c r="M93" s="5">
        <v>2.7985074626865671</v>
      </c>
      <c r="N93" s="5">
        <v>4.2910447761194019</v>
      </c>
      <c r="O93" s="5">
        <v>5.9182202432245301</v>
      </c>
      <c r="P93" t="s">
        <v>43</v>
      </c>
      <c r="Q93" t="s">
        <v>42</v>
      </c>
    </row>
    <row r="94" spans="1:17" x14ac:dyDescent="0.3">
      <c r="A94">
        <f t="shared" si="1"/>
        <v>90</v>
      </c>
      <c r="B94" s="5">
        <v>84.653999999999996</v>
      </c>
      <c r="C94" s="5">
        <v>14.0421</v>
      </c>
      <c r="D94" s="5">
        <v>0</v>
      </c>
      <c r="E94" s="5">
        <v>0.3</v>
      </c>
      <c r="F94" s="5">
        <v>1.3039000000000001</v>
      </c>
      <c r="G94" s="5">
        <v>0.24</v>
      </c>
      <c r="H94" s="5">
        <v>829</v>
      </c>
      <c r="I94" s="5">
        <v>3</v>
      </c>
      <c r="J94" s="5">
        <v>0</v>
      </c>
      <c r="K94" s="5">
        <v>54.327808471454873</v>
      </c>
      <c r="L94" s="5">
        <v>36.648250460405151</v>
      </c>
      <c r="M94" s="5">
        <v>3.1307550644567215</v>
      </c>
      <c r="N94" s="5">
        <v>4.6040515653775316</v>
      </c>
      <c r="O94" s="5">
        <v>5.2264802147956875</v>
      </c>
      <c r="P94" t="s">
        <v>43</v>
      </c>
      <c r="Q94" t="s">
        <v>42</v>
      </c>
    </row>
    <row r="95" spans="1:17" x14ac:dyDescent="0.3">
      <c r="A95">
        <f t="shared" si="1"/>
        <v>91</v>
      </c>
      <c r="B95" s="5">
        <v>68.511099999999999</v>
      </c>
      <c r="C95" s="5">
        <v>10.2616</v>
      </c>
      <c r="D95" s="5">
        <v>14.386900000000001</v>
      </c>
      <c r="E95" s="5">
        <v>0.6</v>
      </c>
      <c r="F95" s="5">
        <v>6.7404000000000002</v>
      </c>
      <c r="G95" s="5">
        <v>0.31</v>
      </c>
      <c r="H95" s="5">
        <v>914</v>
      </c>
      <c r="I95" s="5">
        <v>3</v>
      </c>
      <c r="J95" s="5">
        <v>0</v>
      </c>
      <c r="K95" s="5">
        <v>20.952380952380953</v>
      </c>
      <c r="L95" s="5">
        <v>15.238095238095237</v>
      </c>
      <c r="M95" s="5">
        <v>36.19047619047619</v>
      </c>
      <c r="N95" s="5">
        <v>20</v>
      </c>
      <c r="O95" s="5">
        <v>3.5847631101805435</v>
      </c>
      <c r="P95" t="s">
        <v>44</v>
      </c>
      <c r="Q95" t="s">
        <v>42</v>
      </c>
    </row>
    <row r="96" spans="1:17" x14ac:dyDescent="0.3">
      <c r="A96">
        <f t="shared" si="1"/>
        <v>92</v>
      </c>
      <c r="B96" s="5">
        <v>68.511099999999999</v>
      </c>
      <c r="C96" s="5">
        <v>10.2616</v>
      </c>
      <c r="D96" s="5">
        <v>14.386900000000001</v>
      </c>
      <c r="E96" s="5">
        <v>0.6</v>
      </c>
      <c r="F96" s="5">
        <v>6.7404000000000002</v>
      </c>
      <c r="G96" s="5">
        <v>0.25</v>
      </c>
      <c r="H96" s="5">
        <v>884</v>
      </c>
      <c r="I96" s="5">
        <v>3</v>
      </c>
      <c r="J96" s="5">
        <v>0</v>
      </c>
      <c r="K96" s="5">
        <v>22.346368715083802</v>
      </c>
      <c r="L96" s="5">
        <v>12.849162011173183</v>
      </c>
      <c r="M96" s="5">
        <v>32.402234636871512</v>
      </c>
      <c r="N96" s="5">
        <v>22.067039106145252</v>
      </c>
      <c r="O96" s="5">
        <v>3.2766975303994039</v>
      </c>
      <c r="P96" t="s">
        <v>44</v>
      </c>
      <c r="Q96" t="s">
        <v>42</v>
      </c>
    </row>
    <row r="97" spans="1:17" x14ac:dyDescent="0.3">
      <c r="A97">
        <f t="shared" si="1"/>
        <v>93</v>
      </c>
      <c r="B97" s="5">
        <v>68.511099999999999</v>
      </c>
      <c r="C97" s="5">
        <v>10.2616</v>
      </c>
      <c r="D97" s="5">
        <v>14.386900000000001</v>
      </c>
      <c r="E97" s="5">
        <v>0.6</v>
      </c>
      <c r="F97" s="5">
        <v>6.7404000000000002</v>
      </c>
      <c r="G97" s="5">
        <v>0.22</v>
      </c>
      <c r="H97" s="5">
        <v>869</v>
      </c>
      <c r="I97" s="5">
        <v>3</v>
      </c>
      <c r="J97" s="5">
        <v>0</v>
      </c>
      <c r="K97" s="5">
        <v>20.178041543026712</v>
      </c>
      <c r="L97" s="5">
        <v>10.979228486646887</v>
      </c>
      <c r="M97" s="5">
        <v>32.937685459940667</v>
      </c>
      <c r="N97" s="5">
        <v>21.661721068249264</v>
      </c>
      <c r="O97" s="5">
        <v>2.8555098304134234</v>
      </c>
      <c r="P97" t="s">
        <v>44</v>
      </c>
      <c r="Q97" t="s">
        <v>42</v>
      </c>
    </row>
    <row r="98" spans="1:17" x14ac:dyDescent="0.3">
      <c r="A98">
        <f t="shared" si="1"/>
        <v>94</v>
      </c>
      <c r="B98" s="5">
        <v>80.06</v>
      </c>
      <c r="C98" s="5">
        <v>13.192299999999999</v>
      </c>
      <c r="D98" s="5">
        <v>4.5321999999999996</v>
      </c>
      <c r="E98" s="5">
        <v>0.7</v>
      </c>
      <c r="F98" s="5">
        <v>1.9134</v>
      </c>
      <c r="G98" s="5">
        <v>0.27</v>
      </c>
      <c r="H98" s="5">
        <v>894</v>
      </c>
      <c r="I98" s="5">
        <v>3</v>
      </c>
      <c r="J98" s="5">
        <v>0</v>
      </c>
      <c r="K98" s="5">
        <v>25.000000000000007</v>
      </c>
      <c r="L98" s="5">
        <v>15.40697674418605</v>
      </c>
      <c r="M98" s="5">
        <v>28.488372093023266</v>
      </c>
      <c r="N98" s="5">
        <v>21.220930232558146</v>
      </c>
      <c r="O98" s="5">
        <v>3.8693534290553511</v>
      </c>
      <c r="P98" t="s">
        <v>45</v>
      </c>
      <c r="Q98" t="s">
        <v>42</v>
      </c>
    </row>
    <row r="99" spans="1:17" x14ac:dyDescent="0.3">
      <c r="A99">
        <f t="shared" si="1"/>
        <v>95</v>
      </c>
      <c r="B99" s="5">
        <v>80.06</v>
      </c>
      <c r="C99" s="5">
        <v>13.192299999999999</v>
      </c>
      <c r="D99" s="5">
        <v>4.5321999999999996</v>
      </c>
      <c r="E99" s="5">
        <v>0.7</v>
      </c>
      <c r="F99" s="5">
        <v>1.9134</v>
      </c>
      <c r="G99" s="5">
        <v>0.24</v>
      </c>
      <c r="H99" s="5">
        <v>890</v>
      </c>
      <c r="I99" s="5">
        <v>3</v>
      </c>
      <c r="J99" s="5">
        <v>0</v>
      </c>
      <c r="K99" s="5">
        <v>24.61538461538462</v>
      </c>
      <c r="L99" s="5">
        <v>11.53846153846154</v>
      </c>
      <c r="M99" s="5">
        <v>27.948717948717952</v>
      </c>
      <c r="N99" s="5">
        <v>22.051282051282055</v>
      </c>
      <c r="O99" s="5">
        <v>3.6025266764377055</v>
      </c>
      <c r="P99" t="s">
        <v>45</v>
      </c>
      <c r="Q99" t="s">
        <v>42</v>
      </c>
    </row>
    <row r="100" spans="1:17" x14ac:dyDescent="0.3">
      <c r="A100">
        <f t="shared" si="1"/>
        <v>96</v>
      </c>
      <c r="B100" s="5">
        <v>57.0974</v>
      </c>
      <c r="C100" s="5">
        <v>8.1568000000000005</v>
      </c>
      <c r="D100" s="5">
        <v>27.860199999999999</v>
      </c>
      <c r="E100" s="5">
        <v>5.6</v>
      </c>
      <c r="F100" s="5">
        <v>6.25</v>
      </c>
      <c r="G100" s="5">
        <v>0.26</v>
      </c>
      <c r="H100" s="5">
        <v>879</v>
      </c>
      <c r="I100" s="5">
        <v>3</v>
      </c>
      <c r="J100" s="5">
        <v>0</v>
      </c>
      <c r="K100" s="5">
        <v>22.398190045248871</v>
      </c>
      <c r="L100" s="5">
        <v>26.244343891402718</v>
      </c>
      <c r="M100" s="5">
        <v>32.352941176470594</v>
      </c>
      <c r="N100" s="5">
        <v>14.253393665158372</v>
      </c>
      <c r="O100" s="5">
        <v>2.7556041552761075</v>
      </c>
      <c r="P100" t="s">
        <v>46</v>
      </c>
      <c r="Q100" t="s">
        <v>42</v>
      </c>
    </row>
    <row r="101" spans="1:17" x14ac:dyDescent="0.3">
      <c r="A101">
        <f t="shared" si="1"/>
        <v>97</v>
      </c>
      <c r="B101" s="5">
        <v>57.0974</v>
      </c>
      <c r="C101" s="5">
        <v>8.1568000000000005</v>
      </c>
      <c r="D101" s="5">
        <v>27.860199999999999</v>
      </c>
      <c r="E101" s="5">
        <v>5.6</v>
      </c>
      <c r="F101" s="5">
        <v>6.25</v>
      </c>
      <c r="G101" s="5">
        <v>0.31</v>
      </c>
      <c r="H101" s="5">
        <v>915</v>
      </c>
      <c r="I101" s="5">
        <v>3</v>
      </c>
      <c r="J101" s="5">
        <v>0</v>
      </c>
      <c r="K101" s="5">
        <v>20.101781170483459</v>
      </c>
      <c r="L101" s="5">
        <v>27.735368956742999</v>
      </c>
      <c r="M101" s="5">
        <v>35.877862595419842</v>
      </c>
      <c r="N101" s="5">
        <v>12.468193384223918</v>
      </c>
      <c r="O101" s="5">
        <v>3.0915254237288132</v>
      </c>
      <c r="P101" t="s">
        <v>46</v>
      </c>
      <c r="Q101" t="s">
        <v>42</v>
      </c>
    </row>
    <row r="102" spans="1:17" x14ac:dyDescent="0.3">
      <c r="A102">
        <f t="shared" si="1"/>
        <v>98</v>
      </c>
      <c r="B102">
        <v>57.9</v>
      </c>
      <c r="C102" s="5">
        <v>8.4608000000000008</v>
      </c>
      <c r="D102" s="5">
        <v>16</v>
      </c>
      <c r="E102" s="5">
        <v>1.9</v>
      </c>
      <c r="F102" s="5">
        <v>16.5138</v>
      </c>
      <c r="G102" s="5">
        <v>0.34</v>
      </c>
      <c r="H102" s="5">
        <v>899</v>
      </c>
      <c r="I102" s="5">
        <v>3</v>
      </c>
      <c r="J102" s="5">
        <v>0</v>
      </c>
      <c r="K102" s="5">
        <v>16.71388101983003</v>
      </c>
      <c r="L102" s="5">
        <v>21.52974504249292</v>
      </c>
      <c r="M102" s="5">
        <v>37.960339943342781</v>
      </c>
      <c r="N102" s="5">
        <v>18.696883852691219</v>
      </c>
      <c r="O102" s="5">
        <v>3.0431121399317238</v>
      </c>
      <c r="P102" t="s">
        <v>36</v>
      </c>
      <c r="Q102" t="s">
        <v>42</v>
      </c>
    </row>
    <row r="103" spans="1:17" x14ac:dyDescent="0.3">
      <c r="A103">
        <f t="shared" si="1"/>
        <v>99</v>
      </c>
      <c r="B103">
        <v>57.9</v>
      </c>
      <c r="C103" s="5">
        <v>8.4608000000000008</v>
      </c>
      <c r="D103" s="5">
        <v>16</v>
      </c>
      <c r="E103" s="5">
        <v>1.9</v>
      </c>
      <c r="F103" s="5">
        <v>16.5138</v>
      </c>
      <c r="G103" s="5">
        <v>0.28000000000000003</v>
      </c>
      <c r="H103" s="5">
        <v>896</v>
      </c>
      <c r="I103" s="5">
        <v>3</v>
      </c>
      <c r="J103" s="5">
        <v>0</v>
      </c>
      <c r="K103" s="5">
        <v>20.95490716180371</v>
      </c>
      <c r="L103" s="5">
        <v>23.076923076923073</v>
      </c>
      <c r="M103" s="5">
        <v>32.625994694960212</v>
      </c>
      <c r="N103" s="5">
        <v>18.567639257294427</v>
      </c>
      <c r="O103" s="5">
        <v>2.6990565763526977</v>
      </c>
      <c r="P103" t="s">
        <v>36</v>
      </c>
      <c r="Q103" t="s">
        <v>42</v>
      </c>
    </row>
    <row r="104" spans="1:17" x14ac:dyDescent="0.3">
      <c r="A104">
        <f t="shared" si="1"/>
        <v>100</v>
      </c>
      <c r="B104">
        <v>57.9</v>
      </c>
      <c r="C104" s="5">
        <v>8.4608000000000008</v>
      </c>
      <c r="D104" s="5">
        <v>16</v>
      </c>
      <c r="E104" s="5">
        <v>1.9</v>
      </c>
      <c r="F104" s="5">
        <v>16.5138</v>
      </c>
      <c r="G104" s="5">
        <v>0.23</v>
      </c>
      <c r="H104" s="5">
        <v>869</v>
      </c>
      <c r="I104" s="5">
        <v>3</v>
      </c>
      <c r="J104" s="5">
        <v>0</v>
      </c>
      <c r="K104" s="5">
        <v>21.852731591448933</v>
      </c>
      <c r="L104" s="5">
        <v>21.615201900237533</v>
      </c>
      <c r="M104" s="5">
        <v>30.403800475059388</v>
      </c>
      <c r="N104" s="5">
        <v>19.714964370546323</v>
      </c>
      <c r="O104" s="5">
        <v>2.3570643145042816</v>
      </c>
      <c r="P104" t="s">
        <v>36</v>
      </c>
      <c r="Q104" t="s">
        <v>42</v>
      </c>
    </row>
    <row r="105" spans="1:17" x14ac:dyDescent="0.3">
      <c r="A105">
        <f t="shared" si="1"/>
        <v>101</v>
      </c>
      <c r="B105" s="5">
        <v>29.5</v>
      </c>
      <c r="C105" s="5">
        <v>4.9000000000000004</v>
      </c>
      <c r="D105" s="5">
        <v>15</v>
      </c>
      <c r="E105" s="5">
        <v>8.6999999999999993</v>
      </c>
      <c r="F105" s="5">
        <v>41.7</v>
      </c>
      <c r="G105" s="5">
        <v>0.3</v>
      </c>
      <c r="H105" s="5">
        <v>800</v>
      </c>
      <c r="I105" s="5">
        <v>1</v>
      </c>
      <c r="J105" s="5">
        <v>0</v>
      </c>
      <c r="K105" s="5">
        <v>25.432098765432098</v>
      </c>
      <c r="L105" s="5">
        <v>22.222222222222221</v>
      </c>
      <c r="M105" s="5">
        <v>33.580246913580247</v>
      </c>
      <c r="N105" s="5">
        <v>8.1481481481481488</v>
      </c>
      <c r="O105" s="5">
        <v>2.8</v>
      </c>
      <c r="P105" t="s">
        <v>47</v>
      </c>
      <c r="Q105" t="s">
        <v>48</v>
      </c>
    </row>
    <row r="106" spans="1:17" x14ac:dyDescent="0.3">
      <c r="A106">
        <f t="shared" si="1"/>
        <v>102</v>
      </c>
      <c r="B106" s="5">
        <v>29.5</v>
      </c>
      <c r="C106" s="5">
        <v>4.9000000000000004</v>
      </c>
      <c r="D106" s="5">
        <v>15</v>
      </c>
      <c r="E106" s="5">
        <v>8.6999999999999993</v>
      </c>
      <c r="F106" s="5">
        <v>41.7</v>
      </c>
      <c r="G106" s="5">
        <v>0.3</v>
      </c>
      <c r="H106" s="5">
        <v>800</v>
      </c>
      <c r="I106" s="5">
        <v>1</v>
      </c>
      <c r="J106" s="5">
        <v>0</v>
      </c>
      <c r="K106" s="5">
        <v>26.098901098901099</v>
      </c>
      <c r="L106" s="5">
        <v>20.604395604395606</v>
      </c>
      <c r="M106" s="5">
        <v>36.263736263736263</v>
      </c>
      <c r="N106" s="5">
        <v>7.1428571428571432</v>
      </c>
      <c r="O106" s="5">
        <v>2.8</v>
      </c>
      <c r="P106" t="s">
        <v>47</v>
      </c>
      <c r="Q106" t="s">
        <v>48</v>
      </c>
    </row>
    <row r="107" spans="1:17" x14ac:dyDescent="0.3">
      <c r="A107">
        <f t="shared" si="1"/>
        <v>103</v>
      </c>
      <c r="B107" s="5">
        <v>29.5</v>
      </c>
      <c r="C107" s="5">
        <v>4.9000000000000004</v>
      </c>
      <c r="D107" s="5">
        <v>15</v>
      </c>
      <c r="E107" s="5">
        <v>8.6999999999999993</v>
      </c>
      <c r="F107" s="5">
        <v>41.7</v>
      </c>
      <c r="G107" s="5">
        <v>0.3</v>
      </c>
      <c r="H107" s="5">
        <v>800</v>
      </c>
      <c r="I107" s="5">
        <v>1</v>
      </c>
      <c r="J107" s="5">
        <v>0</v>
      </c>
      <c r="K107" s="5">
        <v>23.160762942779289</v>
      </c>
      <c r="L107" s="5">
        <v>22.343324250681196</v>
      </c>
      <c r="M107" s="5">
        <v>36.51226158038147</v>
      </c>
      <c r="N107" s="5">
        <v>8.1743869209809255</v>
      </c>
      <c r="O107" s="5">
        <v>2.7</v>
      </c>
      <c r="P107" t="s">
        <v>47</v>
      </c>
      <c r="Q107" t="s">
        <v>48</v>
      </c>
    </row>
    <row r="108" spans="1:17" x14ac:dyDescent="0.3">
      <c r="A108">
        <f t="shared" si="1"/>
        <v>104</v>
      </c>
      <c r="B108" s="5">
        <v>29.5</v>
      </c>
      <c r="C108" s="5">
        <v>4.9000000000000004</v>
      </c>
      <c r="D108" s="5">
        <v>15</v>
      </c>
      <c r="E108" s="5">
        <v>8.6999999999999993</v>
      </c>
      <c r="F108" s="5">
        <v>41.7</v>
      </c>
      <c r="G108" s="5">
        <v>0.3</v>
      </c>
      <c r="H108" s="5">
        <v>800</v>
      </c>
      <c r="I108" s="5">
        <v>1</v>
      </c>
      <c r="J108" s="5">
        <v>1</v>
      </c>
      <c r="K108" s="5">
        <v>28.17258883248731</v>
      </c>
      <c r="L108" s="5">
        <v>17.00507614213198</v>
      </c>
      <c r="M108" s="5">
        <v>34.771573604060912</v>
      </c>
      <c r="N108" s="5">
        <v>7.8680203045685282</v>
      </c>
      <c r="O108" s="5">
        <v>2.9</v>
      </c>
      <c r="P108" t="s">
        <v>47</v>
      </c>
      <c r="Q108" t="s">
        <v>48</v>
      </c>
    </row>
    <row r="109" spans="1:17" x14ac:dyDescent="0.3">
      <c r="A109">
        <f t="shared" si="1"/>
        <v>105</v>
      </c>
      <c r="B109" s="5">
        <v>29.5</v>
      </c>
      <c r="C109" s="5">
        <v>4.9000000000000004</v>
      </c>
      <c r="D109" s="5">
        <v>15</v>
      </c>
      <c r="E109" s="5">
        <v>8.6999999999999993</v>
      </c>
      <c r="F109" s="5">
        <v>41.7</v>
      </c>
      <c r="G109" s="5">
        <v>0.3</v>
      </c>
      <c r="H109" s="5">
        <v>800</v>
      </c>
      <c r="I109" s="5">
        <v>1</v>
      </c>
      <c r="J109" s="5">
        <v>1</v>
      </c>
      <c r="K109" s="5">
        <v>26.648351648351646</v>
      </c>
      <c r="L109" s="5">
        <v>16.758241758241759</v>
      </c>
      <c r="M109" s="5">
        <v>36.263736263736263</v>
      </c>
      <c r="N109" s="5">
        <v>6.8681318681318686</v>
      </c>
      <c r="O109" s="5">
        <v>2.9</v>
      </c>
      <c r="P109" t="s">
        <v>47</v>
      </c>
      <c r="Q109" t="s">
        <v>48</v>
      </c>
    </row>
    <row r="110" spans="1:17" x14ac:dyDescent="0.3">
      <c r="A110">
        <f t="shared" si="1"/>
        <v>106</v>
      </c>
      <c r="B110" s="5">
        <v>29.5</v>
      </c>
      <c r="C110" s="5">
        <v>4.9000000000000004</v>
      </c>
      <c r="D110" s="5">
        <v>15</v>
      </c>
      <c r="E110" s="5">
        <v>8.6999999999999993</v>
      </c>
      <c r="F110" s="5">
        <v>41.7</v>
      </c>
      <c r="G110" s="5">
        <v>0.3</v>
      </c>
      <c r="H110" s="5">
        <v>800</v>
      </c>
      <c r="I110" s="5">
        <v>1</v>
      </c>
      <c r="J110" s="5">
        <v>1</v>
      </c>
      <c r="K110" s="5">
        <v>24.450549450549453</v>
      </c>
      <c r="L110" s="5">
        <v>21.153846153846153</v>
      </c>
      <c r="M110" s="5">
        <v>38.18681318681319</v>
      </c>
      <c r="N110" s="5">
        <v>6.3186813186813184</v>
      </c>
      <c r="O110" s="5">
        <v>3</v>
      </c>
      <c r="P110" t="s">
        <v>47</v>
      </c>
      <c r="Q110" t="s">
        <v>48</v>
      </c>
    </row>
    <row r="111" spans="1:17" x14ac:dyDescent="0.3">
      <c r="A111">
        <f t="shared" si="1"/>
        <v>107</v>
      </c>
      <c r="B111">
        <v>27.3</v>
      </c>
      <c r="C111" s="5">
        <v>4.8</v>
      </c>
      <c r="D111" s="5">
        <v>18.899999999999999</v>
      </c>
      <c r="E111" s="5">
        <v>7</v>
      </c>
      <c r="F111" s="5">
        <v>44</v>
      </c>
      <c r="G111" s="5">
        <v>0.3</v>
      </c>
      <c r="H111" s="5">
        <v>750</v>
      </c>
      <c r="I111" s="5">
        <v>1</v>
      </c>
      <c r="J111" s="5">
        <v>0</v>
      </c>
      <c r="K111" s="5">
        <v>21.776504297994265</v>
      </c>
      <c r="L111" s="5">
        <v>19.770773638968478</v>
      </c>
      <c r="M111" s="5">
        <v>40.401146131805149</v>
      </c>
      <c r="N111" s="5">
        <v>7.7363896848137523</v>
      </c>
      <c r="O111" s="5">
        <v>2.5</v>
      </c>
      <c r="P111" t="s">
        <v>47</v>
      </c>
      <c r="Q111" t="s">
        <v>49</v>
      </c>
    </row>
    <row r="112" spans="1:17" x14ac:dyDescent="0.3">
      <c r="A112">
        <f t="shared" si="1"/>
        <v>108</v>
      </c>
      <c r="B112">
        <v>27.3</v>
      </c>
      <c r="C112" s="5">
        <v>4.8</v>
      </c>
      <c r="D112" s="5">
        <v>18.899999999999999</v>
      </c>
      <c r="E112" s="5">
        <v>7</v>
      </c>
      <c r="F112" s="5">
        <v>44</v>
      </c>
      <c r="G112" s="5">
        <v>0.3</v>
      </c>
      <c r="H112" s="5">
        <v>800</v>
      </c>
      <c r="I112" s="5">
        <v>1</v>
      </c>
      <c r="J112" s="5">
        <v>0</v>
      </c>
      <c r="K112" s="5">
        <v>26.530612244897956</v>
      </c>
      <c r="L112" s="5">
        <v>20.408163265306122</v>
      </c>
      <c r="M112" s="5">
        <v>35.969387755102041</v>
      </c>
      <c r="N112" s="5">
        <v>7.6530612244897958</v>
      </c>
      <c r="O112" s="5">
        <v>2.5</v>
      </c>
      <c r="P112" t="s">
        <v>47</v>
      </c>
      <c r="Q112" t="s">
        <v>49</v>
      </c>
    </row>
    <row r="113" spans="1:17" x14ac:dyDescent="0.3">
      <c r="A113">
        <f t="shared" si="1"/>
        <v>109</v>
      </c>
      <c r="B113">
        <v>27.3</v>
      </c>
      <c r="C113" s="5">
        <v>4.8</v>
      </c>
      <c r="D113" s="5">
        <v>18.899999999999999</v>
      </c>
      <c r="E113" s="5">
        <v>7</v>
      </c>
      <c r="F113" s="5">
        <v>44</v>
      </c>
      <c r="G113" s="5">
        <v>0.3</v>
      </c>
      <c r="H113" s="5">
        <v>850</v>
      </c>
      <c r="I113" s="5">
        <v>1</v>
      </c>
      <c r="J113" s="5">
        <v>0</v>
      </c>
      <c r="K113" s="5">
        <v>28.605200945626478</v>
      </c>
      <c r="L113" s="5">
        <v>23.877068557919625</v>
      </c>
      <c r="M113" s="5">
        <v>30.969267139479907</v>
      </c>
      <c r="N113" s="5">
        <v>7.8014184397163122</v>
      </c>
      <c r="O113" s="5">
        <v>2.6</v>
      </c>
      <c r="P113" t="s">
        <v>47</v>
      </c>
      <c r="Q113" t="s">
        <v>49</v>
      </c>
    </row>
    <row r="114" spans="1:17" x14ac:dyDescent="0.3">
      <c r="A114">
        <f t="shared" si="1"/>
        <v>110</v>
      </c>
      <c r="B114">
        <v>27.3</v>
      </c>
      <c r="C114" s="5">
        <v>4.8</v>
      </c>
      <c r="D114" s="5">
        <v>18.899999999999999</v>
      </c>
      <c r="E114" s="5">
        <v>7</v>
      </c>
      <c r="F114" s="5">
        <v>44</v>
      </c>
      <c r="G114" s="5">
        <v>0.2</v>
      </c>
      <c r="H114" s="5">
        <v>750</v>
      </c>
      <c r="I114" s="5">
        <v>1</v>
      </c>
      <c r="J114" s="5">
        <v>0</v>
      </c>
      <c r="K114" s="5">
        <v>25.063938618925832</v>
      </c>
      <c r="L114" s="5">
        <v>18.414322250639387</v>
      </c>
      <c r="M114" s="5">
        <v>36.31713554987212</v>
      </c>
      <c r="N114" s="5">
        <v>9.4629156010230169</v>
      </c>
      <c r="O114" s="5">
        <v>1.9</v>
      </c>
      <c r="P114" t="s">
        <v>47</v>
      </c>
      <c r="Q114" t="s">
        <v>50</v>
      </c>
    </row>
    <row r="115" spans="1:17" x14ac:dyDescent="0.3">
      <c r="A115">
        <f t="shared" si="1"/>
        <v>111</v>
      </c>
      <c r="B115">
        <v>27.3</v>
      </c>
      <c r="C115" s="5">
        <v>4.8</v>
      </c>
      <c r="D115" s="5">
        <v>18.899999999999999</v>
      </c>
      <c r="E115" s="5">
        <v>7</v>
      </c>
      <c r="F115" s="5">
        <v>44</v>
      </c>
      <c r="G115" s="5">
        <v>0.2</v>
      </c>
      <c r="H115" s="5">
        <v>800</v>
      </c>
      <c r="I115" s="5">
        <v>1</v>
      </c>
      <c r="J115" s="5">
        <v>0</v>
      </c>
      <c r="K115" s="5">
        <v>29.288702928870293</v>
      </c>
      <c r="L115" s="5">
        <v>22.384937238493727</v>
      </c>
      <c r="M115" s="5">
        <v>28.451882845188287</v>
      </c>
      <c r="N115" s="5">
        <v>10.251046025104605</v>
      </c>
      <c r="O115" s="5">
        <v>2</v>
      </c>
      <c r="P115" t="s">
        <v>47</v>
      </c>
      <c r="Q115" t="s">
        <v>50</v>
      </c>
    </row>
    <row r="116" spans="1:17" x14ac:dyDescent="0.3">
      <c r="A116">
        <f t="shared" si="1"/>
        <v>112</v>
      </c>
      <c r="B116">
        <v>27.3</v>
      </c>
      <c r="C116" s="5">
        <v>4.8</v>
      </c>
      <c r="D116" s="5">
        <v>18.899999999999999</v>
      </c>
      <c r="E116" s="5">
        <v>7</v>
      </c>
      <c r="F116" s="5">
        <v>44</v>
      </c>
      <c r="G116" s="5">
        <v>0.2</v>
      </c>
      <c r="H116" s="5">
        <v>850</v>
      </c>
      <c r="I116" s="5">
        <v>1</v>
      </c>
      <c r="J116" s="5">
        <v>0</v>
      </c>
      <c r="K116" s="5">
        <v>31.357552581261949</v>
      </c>
      <c r="L116" s="5">
        <v>24.091778202676867</v>
      </c>
      <c r="M116" s="5">
        <v>24.856596558317403</v>
      </c>
      <c r="N116" s="5">
        <v>10.89866156787763</v>
      </c>
      <c r="O116" s="5">
        <v>2</v>
      </c>
      <c r="P116" t="s">
        <v>47</v>
      </c>
      <c r="Q116" t="s">
        <v>50</v>
      </c>
    </row>
    <row r="117" spans="1:17" x14ac:dyDescent="0.3">
      <c r="A117">
        <f t="shared" si="1"/>
        <v>113</v>
      </c>
      <c r="B117">
        <v>27.3</v>
      </c>
      <c r="C117" s="5">
        <v>4.8</v>
      </c>
      <c r="D117" s="5">
        <v>18.899999999999999</v>
      </c>
      <c r="E117" s="5">
        <v>7</v>
      </c>
      <c r="F117" s="5">
        <v>44</v>
      </c>
      <c r="G117" s="5">
        <v>0.3</v>
      </c>
      <c r="H117" s="5">
        <v>750</v>
      </c>
      <c r="I117" s="5">
        <v>1</v>
      </c>
      <c r="J117" s="5">
        <v>0</v>
      </c>
      <c r="K117" s="5">
        <v>21.776504297994265</v>
      </c>
      <c r="L117" s="5">
        <v>19.770773638968478</v>
      </c>
      <c r="M117" s="5">
        <v>40.401146131805149</v>
      </c>
      <c r="N117" s="5">
        <v>7.7363896848137523</v>
      </c>
      <c r="O117" s="5">
        <v>2.5</v>
      </c>
      <c r="P117" t="s">
        <v>47</v>
      </c>
      <c r="Q117" t="s">
        <v>50</v>
      </c>
    </row>
    <row r="118" spans="1:17" x14ac:dyDescent="0.3">
      <c r="A118">
        <f t="shared" si="1"/>
        <v>114</v>
      </c>
      <c r="B118">
        <v>27.3</v>
      </c>
      <c r="C118" s="5">
        <v>4.8</v>
      </c>
      <c r="D118" s="5">
        <v>18.899999999999999</v>
      </c>
      <c r="E118" s="5">
        <v>7</v>
      </c>
      <c r="F118" s="5">
        <v>44</v>
      </c>
      <c r="G118" s="5">
        <v>0.3</v>
      </c>
      <c r="H118" s="5">
        <v>800</v>
      </c>
      <c r="I118" s="5">
        <v>1</v>
      </c>
      <c r="J118" s="5">
        <v>0</v>
      </c>
      <c r="K118" s="5">
        <v>26.530612244897956</v>
      </c>
      <c r="L118" s="5">
        <v>20.408163265306122</v>
      </c>
      <c r="M118" s="5">
        <v>35.969387755102041</v>
      </c>
      <c r="N118" s="5">
        <v>7.6530612244897958</v>
      </c>
      <c r="O118" s="5">
        <v>2.5</v>
      </c>
      <c r="P118" t="s">
        <v>47</v>
      </c>
      <c r="Q118" t="s">
        <v>50</v>
      </c>
    </row>
    <row r="119" spans="1:17" x14ac:dyDescent="0.3">
      <c r="A119">
        <f t="shared" si="1"/>
        <v>115</v>
      </c>
      <c r="B119">
        <v>27.3</v>
      </c>
      <c r="C119" s="5">
        <v>4.8</v>
      </c>
      <c r="D119" s="5">
        <v>18.899999999999999</v>
      </c>
      <c r="E119" s="5">
        <v>7</v>
      </c>
      <c r="F119" s="5">
        <v>44</v>
      </c>
      <c r="G119" s="5">
        <v>0.3</v>
      </c>
      <c r="H119" s="5">
        <v>850</v>
      </c>
      <c r="I119" s="5">
        <v>1</v>
      </c>
      <c r="J119" s="5">
        <v>0</v>
      </c>
      <c r="K119" s="5">
        <v>2.6004728132387713</v>
      </c>
      <c r="L119" s="5">
        <v>23.877068557919625</v>
      </c>
      <c r="M119" s="5">
        <v>30.969267139479907</v>
      </c>
      <c r="N119" s="5">
        <v>7.8014184397163122</v>
      </c>
      <c r="O119" s="5">
        <v>2.6</v>
      </c>
      <c r="P119" t="s">
        <v>47</v>
      </c>
      <c r="Q119" t="s">
        <v>50</v>
      </c>
    </row>
    <row r="120" spans="1:17" x14ac:dyDescent="0.3">
      <c r="A120">
        <f t="shared" si="1"/>
        <v>116</v>
      </c>
      <c r="B120">
        <v>27.3</v>
      </c>
      <c r="C120" s="5">
        <v>4.8</v>
      </c>
      <c r="D120" s="5">
        <v>18.899999999999999</v>
      </c>
      <c r="E120" s="5">
        <v>7</v>
      </c>
      <c r="F120" s="5">
        <v>44</v>
      </c>
      <c r="G120" s="5">
        <v>0.4</v>
      </c>
      <c r="H120" s="5">
        <v>750</v>
      </c>
      <c r="I120" s="5">
        <v>1</v>
      </c>
      <c r="J120" s="5">
        <v>0</v>
      </c>
      <c r="K120" s="5">
        <v>12.749003984063748</v>
      </c>
      <c r="L120" s="5">
        <v>17.13147410358566</v>
      </c>
      <c r="M120" s="5">
        <v>56.175298804780887</v>
      </c>
      <c r="N120" s="5">
        <v>3.9840637450199212</v>
      </c>
      <c r="O120" s="5">
        <v>2.9</v>
      </c>
      <c r="P120" t="s">
        <v>47</v>
      </c>
      <c r="Q120" t="s">
        <v>50</v>
      </c>
    </row>
    <row r="121" spans="1:17" x14ac:dyDescent="0.3">
      <c r="A121">
        <f t="shared" si="1"/>
        <v>117</v>
      </c>
      <c r="B121">
        <v>27.3</v>
      </c>
      <c r="C121" s="5">
        <v>4.8</v>
      </c>
      <c r="D121" s="5">
        <v>18.899999999999999</v>
      </c>
      <c r="E121" s="5">
        <v>7</v>
      </c>
      <c r="F121" s="5">
        <v>44</v>
      </c>
      <c r="G121" s="5">
        <v>0.4</v>
      </c>
      <c r="H121" s="5">
        <v>800</v>
      </c>
      <c r="I121" s="5">
        <v>1</v>
      </c>
      <c r="J121" s="5">
        <v>0</v>
      </c>
      <c r="K121" s="5">
        <v>24.495677233429394</v>
      </c>
      <c r="L121" s="5">
        <v>19.884726224783861</v>
      </c>
      <c r="M121" s="5">
        <v>39.769452449567723</v>
      </c>
      <c r="N121" s="5">
        <v>6.9164265129682994</v>
      </c>
      <c r="O121" s="5">
        <v>3.1</v>
      </c>
      <c r="P121" t="s">
        <v>47</v>
      </c>
      <c r="Q121" t="s">
        <v>50</v>
      </c>
    </row>
    <row r="122" spans="1:17" x14ac:dyDescent="0.3">
      <c r="A122">
        <f t="shared" si="1"/>
        <v>118</v>
      </c>
      <c r="B122">
        <v>27.3</v>
      </c>
      <c r="C122" s="5">
        <v>4.8</v>
      </c>
      <c r="D122" s="5">
        <v>18.899999999999999</v>
      </c>
      <c r="E122" s="5">
        <v>7</v>
      </c>
      <c r="F122" s="5">
        <v>44</v>
      </c>
      <c r="G122" s="5">
        <v>0.4</v>
      </c>
      <c r="H122" s="5">
        <v>850</v>
      </c>
      <c r="I122" s="5">
        <v>1</v>
      </c>
      <c r="J122" s="5">
        <v>0</v>
      </c>
      <c r="K122" s="5">
        <v>26.430517711171657</v>
      </c>
      <c r="L122" s="5">
        <v>22.343324250681196</v>
      </c>
      <c r="M122" s="5">
        <v>37.602179836512256</v>
      </c>
      <c r="N122" s="5">
        <v>5.7220708446866482</v>
      </c>
      <c r="O122" s="5">
        <v>3.1</v>
      </c>
      <c r="P122" t="s">
        <v>47</v>
      </c>
      <c r="Q122" t="s">
        <v>50</v>
      </c>
    </row>
    <row r="123" spans="1:17" x14ac:dyDescent="0.3">
      <c r="A123">
        <f t="shared" si="1"/>
        <v>119</v>
      </c>
      <c r="B123">
        <v>27.3</v>
      </c>
      <c r="C123" s="5">
        <v>4.8</v>
      </c>
      <c r="D123" s="5">
        <v>18.899999999999999</v>
      </c>
      <c r="E123" s="5">
        <v>7</v>
      </c>
      <c r="F123" s="5">
        <v>44</v>
      </c>
      <c r="G123" s="5">
        <v>0.3</v>
      </c>
      <c r="H123" s="5">
        <v>750</v>
      </c>
      <c r="I123" s="5">
        <v>1</v>
      </c>
      <c r="J123" s="5">
        <v>0.5</v>
      </c>
      <c r="K123" s="5">
        <v>25.255102040816325</v>
      </c>
      <c r="L123" s="5">
        <v>19.642857142857142</v>
      </c>
      <c r="M123" s="5">
        <v>37.755102040816325</v>
      </c>
      <c r="N123" s="5">
        <v>7.1428571428571423</v>
      </c>
      <c r="O123" s="5">
        <v>2.4</v>
      </c>
      <c r="P123" t="s">
        <v>47</v>
      </c>
      <c r="Q123" t="s">
        <v>50</v>
      </c>
    </row>
    <row r="124" spans="1:17" x14ac:dyDescent="0.3">
      <c r="A124">
        <f t="shared" si="1"/>
        <v>120</v>
      </c>
      <c r="B124">
        <v>27.3</v>
      </c>
      <c r="C124" s="5">
        <v>4.8</v>
      </c>
      <c r="D124" s="5">
        <v>18.899999999999999</v>
      </c>
      <c r="E124" s="5">
        <v>7</v>
      </c>
      <c r="F124" s="5">
        <v>44</v>
      </c>
      <c r="G124" s="5">
        <v>0.3</v>
      </c>
      <c r="H124" s="5">
        <v>800</v>
      </c>
      <c r="I124" s="5">
        <v>1</v>
      </c>
      <c r="J124" s="5">
        <v>0.5</v>
      </c>
      <c r="K124" s="5">
        <v>26.96078431372549</v>
      </c>
      <c r="L124" s="5">
        <v>20.588235294117649</v>
      </c>
      <c r="M124" s="5">
        <v>36.274509803921568</v>
      </c>
      <c r="N124" s="5">
        <v>7.598039215686275</v>
      </c>
      <c r="O124" s="5">
        <v>2.6</v>
      </c>
      <c r="P124" t="s">
        <v>47</v>
      </c>
      <c r="Q124" t="s">
        <v>50</v>
      </c>
    </row>
    <row r="125" spans="1:17" x14ac:dyDescent="0.3">
      <c r="A125">
        <f t="shared" si="1"/>
        <v>121</v>
      </c>
      <c r="B125">
        <v>27.3</v>
      </c>
      <c r="C125" s="5">
        <v>4.8</v>
      </c>
      <c r="D125" s="5">
        <v>18.899999999999999</v>
      </c>
      <c r="E125" s="5">
        <v>7</v>
      </c>
      <c r="F125" s="5">
        <v>44</v>
      </c>
      <c r="G125" s="5">
        <v>0.3</v>
      </c>
      <c r="H125" s="5">
        <v>850</v>
      </c>
      <c r="I125" s="5">
        <v>1</v>
      </c>
      <c r="J125" s="5">
        <v>0.5</v>
      </c>
      <c r="K125" s="5">
        <v>33.549783549783548</v>
      </c>
      <c r="L125" s="5">
        <v>22.510822510822511</v>
      </c>
      <c r="M125" s="5">
        <v>30.519480519480517</v>
      </c>
      <c r="N125" s="5">
        <v>6.9264069264069263</v>
      </c>
      <c r="O125" s="5">
        <v>2.8</v>
      </c>
      <c r="P125" t="s">
        <v>47</v>
      </c>
      <c r="Q125" t="s">
        <v>50</v>
      </c>
    </row>
    <row r="126" spans="1:17" x14ac:dyDescent="0.3">
      <c r="A126">
        <f t="shared" si="1"/>
        <v>122</v>
      </c>
      <c r="B126">
        <v>27.3</v>
      </c>
      <c r="C126" s="5">
        <v>4.8</v>
      </c>
      <c r="D126" s="5">
        <v>18.899999999999999</v>
      </c>
      <c r="E126" s="5">
        <v>7</v>
      </c>
      <c r="F126" s="5">
        <v>44</v>
      </c>
      <c r="G126" s="5">
        <v>0.3</v>
      </c>
      <c r="H126" s="5">
        <v>750</v>
      </c>
      <c r="I126" s="5">
        <v>1</v>
      </c>
      <c r="J126" s="5">
        <v>1</v>
      </c>
      <c r="K126" s="5">
        <v>25.252525252525253</v>
      </c>
      <c r="L126" s="5">
        <v>19.696969696969695</v>
      </c>
      <c r="M126" s="5">
        <v>39.393939393939391</v>
      </c>
      <c r="N126" s="5">
        <v>7.3232323232323226</v>
      </c>
      <c r="O126" s="5">
        <v>2.5</v>
      </c>
      <c r="P126" t="s">
        <v>47</v>
      </c>
      <c r="Q126" t="s">
        <v>50</v>
      </c>
    </row>
    <row r="127" spans="1:17" x14ac:dyDescent="0.3">
      <c r="A127">
        <f t="shared" si="1"/>
        <v>123</v>
      </c>
      <c r="B127">
        <v>27.3</v>
      </c>
      <c r="C127" s="5">
        <v>4.8</v>
      </c>
      <c r="D127" s="5">
        <v>18.899999999999999</v>
      </c>
      <c r="E127" s="5">
        <v>7</v>
      </c>
      <c r="F127" s="5">
        <v>44</v>
      </c>
      <c r="G127" s="5">
        <v>0.3</v>
      </c>
      <c r="H127" s="5">
        <v>800</v>
      </c>
      <c r="I127" s="5">
        <v>1</v>
      </c>
      <c r="J127" s="5">
        <v>1</v>
      </c>
      <c r="K127" s="5">
        <v>28.91566265060241</v>
      </c>
      <c r="L127" s="5">
        <v>20.722891566265059</v>
      </c>
      <c r="M127" s="5">
        <v>36.626506024096386</v>
      </c>
      <c r="N127" s="5">
        <v>6.5060240963855422</v>
      </c>
      <c r="O127" s="5">
        <v>2.6</v>
      </c>
      <c r="P127" t="s">
        <v>47</v>
      </c>
      <c r="Q127" t="s">
        <v>50</v>
      </c>
    </row>
    <row r="128" spans="1:17" x14ac:dyDescent="0.3">
      <c r="A128">
        <f t="shared" si="1"/>
        <v>124</v>
      </c>
      <c r="B128">
        <v>27.3</v>
      </c>
      <c r="C128" s="5">
        <v>4.8</v>
      </c>
      <c r="D128" s="5">
        <v>18.899999999999999</v>
      </c>
      <c r="E128" s="5">
        <v>7</v>
      </c>
      <c r="F128" s="5">
        <v>44</v>
      </c>
      <c r="G128" s="5">
        <v>0.3</v>
      </c>
      <c r="H128" s="5">
        <v>850</v>
      </c>
      <c r="I128" s="5">
        <v>1</v>
      </c>
      <c r="J128" s="5">
        <v>1</v>
      </c>
      <c r="K128" s="5">
        <v>34.32835820895523</v>
      </c>
      <c r="L128" s="5">
        <v>21.535181236673775</v>
      </c>
      <c r="M128" s="5">
        <v>31.343283582089555</v>
      </c>
      <c r="N128" s="5">
        <v>6.3965884861407254</v>
      </c>
      <c r="O128" s="5">
        <v>2.8</v>
      </c>
      <c r="P128" t="s">
        <v>47</v>
      </c>
      <c r="Q128" t="s">
        <v>50</v>
      </c>
    </row>
    <row r="129" spans="1:17" x14ac:dyDescent="0.3">
      <c r="A129">
        <f t="shared" si="1"/>
        <v>125</v>
      </c>
      <c r="B129">
        <v>46.85</v>
      </c>
      <c r="C129" s="5">
        <v>6.0905000000000005</v>
      </c>
      <c r="D129" s="5">
        <v>34.013100000000001</v>
      </c>
      <c r="E129" s="5">
        <v>7.6</v>
      </c>
      <c r="F129" s="5">
        <v>6.3</v>
      </c>
      <c r="G129" s="5">
        <v>0.17</v>
      </c>
      <c r="H129" s="5">
        <v>700</v>
      </c>
      <c r="I129" s="5">
        <v>2</v>
      </c>
      <c r="J129" s="5">
        <v>0</v>
      </c>
      <c r="K129" s="5">
        <v>24</v>
      </c>
      <c r="L129" s="5">
        <v>28</v>
      </c>
      <c r="M129" s="5">
        <v>36</v>
      </c>
      <c r="N129" s="5">
        <v>12</v>
      </c>
      <c r="O129" s="5">
        <v>1.4916221655053796</v>
      </c>
      <c r="P129" t="s">
        <v>31</v>
      </c>
      <c r="Q129" t="s">
        <v>51</v>
      </c>
    </row>
    <row r="130" spans="1:17" x14ac:dyDescent="0.3">
      <c r="A130">
        <f t="shared" si="1"/>
        <v>126</v>
      </c>
      <c r="B130">
        <v>46.85</v>
      </c>
      <c r="C130" s="5">
        <v>6.0905000000000005</v>
      </c>
      <c r="D130" s="5">
        <v>34.013100000000001</v>
      </c>
      <c r="E130" s="5">
        <v>7.6</v>
      </c>
      <c r="F130" s="5">
        <v>6.3</v>
      </c>
      <c r="G130" s="5">
        <v>0.2</v>
      </c>
      <c r="H130" s="5">
        <v>740</v>
      </c>
      <c r="I130" s="5">
        <v>2</v>
      </c>
      <c r="J130" s="5">
        <v>0</v>
      </c>
      <c r="K130" s="5">
        <v>23.913043478260871</v>
      </c>
      <c r="L130" s="5">
        <v>26.086956521739129</v>
      </c>
      <c r="M130" s="5">
        <v>36.956521739130437</v>
      </c>
      <c r="N130" s="5">
        <v>13.043478260869565</v>
      </c>
      <c r="O130" s="5">
        <v>1.5742456155120685</v>
      </c>
      <c r="P130" t="s">
        <v>31</v>
      </c>
      <c r="Q130" t="s">
        <v>51</v>
      </c>
    </row>
    <row r="131" spans="1:17" x14ac:dyDescent="0.3">
      <c r="A131">
        <f t="shared" si="1"/>
        <v>127</v>
      </c>
      <c r="B131">
        <v>46.85</v>
      </c>
      <c r="C131" s="5">
        <v>6.0905000000000005</v>
      </c>
      <c r="D131" s="5">
        <v>34.013100000000001</v>
      </c>
      <c r="E131" s="5">
        <v>7.6</v>
      </c>
      <c r="F131" s="5">
        <v>6.3</v>
      </c>
      <c r="G131" s="5">
        <v>0.22</v>
      </c>
      <c r="H131" s="5">
        <v>750</v>
      </c>
      <c r="I131" s="5">
        <v>2</v>
      </c>
      <c r="J131" s="5">
        <v>0</v>
      </c>
      <c r="K131" s="5">
        <v>23.529411764705884</v>
      </c>
      <c r="L131" s="5">
        <v>23.529411764705884</v>
      </c>
      <c r="M131" s="5">
        <v>39.215686274509807</v>
      </c>
      <c r="N131" s="5">
        <v>13.725490196078431</v>
      </c>
      <c r="O131" s="5">
        <v>1.6614477660368803</v>
      </c>
      <c r="P131" t="s">
        <v>31</v>
      </c>
      <c r="Q131" t="s">
        <v>51</v>
      </c>
    </row>
    <row r="132" spans="1:17" x14ac:dyDescent="0.3">
      <c r="A132">
        <f t="shared" si="1"/>
        <v>128</v>
      </c>
      <c r="B132">
        <v>46.85</v>
      </c>
      <c r="C132" s="5">
        <v>6.0905000000000005</v>
      </c>
      <c r="D132" s="5">
        <v>34.013100000000001</v>
      </c>
      <c r="E132" s="5">
        <v>7.6</v>
      </c>
      <c r="F132" s="5">
        <v>6.3</v>
      </c>
      <c r="G132" s="5">
        <v>0.23</v>
      </c>
      <c r="H132" s="5">
        <v>760</v>
      </c>
      <c r="I132" s="5">
        <v>2</v>
      </c>
      <c r="J132" s="5">
        <v>0</v>
      </c>
      <c r="K132" s="5">
        <v>26.666666666666668</v>
      </c>
      <c r="L132" s="5">
        <v>20</v>
      </c>
      <c r="M132" s="5">
        <v>37.777777777777779</v>
      </c>
      <c r="N132" s="5">
        <v>15.555555555555555</v>
      </c>
      <c r="O132" s="5">
        <v>1.59777374291782</v>
      </c>
      <c r="P132" t="s">
        <v>31</v>
      </c>
      <c r="Q132" t="s">
        <v>51</v>
      </c>
    </row>
    <row r="133" spans="1:17" x14ac:dyDescent="0.3">
      <c r="A133">
        <f t="shared" si="1"/>
        <v>129</v>
      </c>
      <c r="B133">
        <v>46.85</v>
      </c>
      <c r="C133" s="5">
        <v>6.0905000000000005</v>
      </c>
      <c r="D133" s="5">
        <v>34.013100000000001</v>
      </c>
      <c r="E133" s="5">
        <v>7.6</v>
      </c>
      <c r="F133" s="5">
        <v>6.3</v>
      </c>
      <c r="G133" s="5">
        <v>0.4</v>
      </c>
      <c r="H133" s="5">
        <v>785</v>
      </c>
      <c r="I133" s="5">
        <v>2</v>
      </c>
      <c r="J133" s="5">
        <v>0</v>
      </c>
      <c r="K133" s="5">
        <v>19.047619047619047</v>
      </c>
      <c r="L133" s="5">
        <v>23.80952380952381</v>
      </c>
      <c r="M133" s="5">
        <v>40.476190476190474</v>
      </c>
      <c r="N133" s="5">
        <v>16.666666666666668</v>
      </c>
      <c r="O133" s="5">
        <v>1.8110669124543193</v>
      </c>
      <c r="P133" t="s">
        <v>31</v>
      </c>
      <c r="Q133" t="s">
        <v>51</v>
      </c>
    </row>
    <row r="134" spans="1:17" x14ac:dyDescent="0.3">
      <c r="A134">
        <f t="shared" si="1"/>
        <v>130</v>
      </c>
      <c r="B134">
        <v>46.85</v>
      </c>
      <c r="C134" s="5">
        <v>6.0905000000000005</v>
      </c>
      <c r="D134" s="5">
        <v>34.013100000000001</v>
      </c>
      <c r="E134" s="5">
        <v>7.6</v>
      </c>
      <c r="F134" s="5">
        <v>6.3</v>
      </c>
      <c r="G134" s="5">
        <v>0.28999999999999998</v>
      </c>
      <c r="H134" s="5">
        <v>780</v>
      </c>
      <c r="I134" s="5">
        <v>2</v>
      </c>
      <c r="J134" s="5">
        <v>0</v>
      </c>
      <c r="K134" s="5">
        <v>22.727272727272727</v>
      </c>
      <c r="L134" s="5">
        <v>29.545454545454547</v>
      </c>
      <c r="M134" s="5">
        <v>36.363636363636367</v>
      </c>
      <c r="N134" s="5">
        <v>11.363636363636363</v>
      </c>
      <c r="O134" s="5">
        <v>2.0084465121818376</v>
      </c>
      <c r="P134" t="s">
        <v>31</v>
      </c>
      <c r="Q134" t="s">
        <v>51</v>
      </c>
    </row>
    <row r="135" spans="1:17" x14ac:dyDescent="0.3">
      <c r="A135">
        <f t="shared" ref="A135:A198" si="2">A134+1</f>
        <v>131</v>
      </c>
      <c r="B135">
        <v>46.85</v>
      </c>
      <c r="C135" s="5">
        <v>6.0905000000000005</v>
      </c>
      <c r="D135" s="5">
        <v>34.013100000000001</v>
      </c>
      <c r="E135" s="5">
        <v>7.6</v>
      </c>
      <c r="F135" s="5">
        <v>6.3</v>
      </c>
      <c r="G135" s="5">
        <v>0.31</v>
      </c>
      <c r="H135" s="5">
        <v>820</v>
      </c>
      <c r="I135" s="5">
        <v>2</v>
      </c>
      <c r="J135" s="5">
        <v>0</v>
      </c>
      <c r="K135" s="5">
        <v>20.454545454545453</v>
      </c>
      <c r="L135" s="5">
        <v>31.818181818181817</v>
      </c>
      <c r="M135" s="5">
        <v>36.363636363636367</v>
      </c>
      <c r="N135" s="5">
        <v>11.363636363636363</v>
      </c>
      <c r="O135" s="5">
        <v>1.9571124160238353</v>
      </c>
      <c r="P135" t="s">
        <v>31</v>
      </c>
      <c r="Q135" t="s">
        <v>51</v>
      </c>
    </row>
    <row r="136" spans="1:17" x14ac:dyDescent="0.3">
      <c r="A136">
        <f t="shared" si="2"/>
        <v>132</v>
      </c>
      <c r="B136">
        <v>37.6</v>
      </c>
      <c r="C136" s="5">
        <v>5.42</v>
      </c>
      <c r="D136" s="5">
        <v>33.200000000000003</v>
      </c>
      <c r="E136" s="5">
        <v>9.08</v>
      </c>
      <c r="F136" s="5">
        <v>23.4</v>
      </c>
      <c r="G136" s="5">
        <v>0.25</v>
      </c>
      <c r="H136" s="5">
        <v>665</v>
      </c>
      <c r="I136" s="5">
        <v>4</v>
      </c>
      <c r="J136" s="5">
        <v>0</v>
      </c>
      <c r="K136" s="5">
        <v>9.2102233479161875</v>
      </c>
      <c r="L136" s="5">
        <v>45.820861155883023</v>
      </c>
      <c r="M136" s="5">
        <v>33.271931844347229</v>
      </c>
      <c r="N136" s="5">
        <v>6.6774119272392358</v>
      </c>
      <c r="O136" s="5">
        <v>2.1537885427639023</v>
      </c>
      <c r="P136" t="s">
        <v>34</v>
      </c>
      <c r="Q136" t="s">
        <v>52</v>
      </c>
    </row>
    <row r="137" spans="1:17" x14ac:dyDescent="0.3">
      <c r="A137">
        <f t="shared" si="2"/>
        <v>133</v>
      </c>
      <c r="B137">
        <v>37.6</v>
      </c>
      <c r="C137" s="5">
        <v>5.42</v>
      </c>
      <c r="D137" s="5">
        <v>33.200000000000003</v>
      </c>
      <c r="E137" s="5">
        <v>9.08</v>
      </c>
      <c r="F137" s="5">
        <v>23.4</v>
      </c>
      <c r="G137" s="5">
        <v>0.3</v>
      </c>
      <c r="H137" s="5">
        <v>744</v>
      </c>
      <c r="I137" s="5">
        <v>4</v>
      </c>
      <c r="J137" s="5">
        <v>0</v>
      </c>
      <c r="K137" s="5">
        <v>9.7674418604651159</v>
      </c>
      <c r="L137" s="5">
        <v>38.63049095607235</v>
      </c>
      <c r="M137" s="5">
        <v>41.937984496124031</v>
      </c>
      <c r="N137" s="5">
        <v>6.1240310077519373</v>
      </c>
      <c r="O137" s="5">
        <v>2.4840361193210336</v>
      </c>
      <c r="P137" t="s">
        <v>34</v>
      </c>
      <c r="Q137" t="s">
        <v>52</v>
      </c>
    </row>
    <row r="138" spans="1:17" x14ac:dyDescent="0.3">
      <c r="A138">
        <f t="shared" si="2"/>
        <v>134</v>
      </c>
      <c r="B138">
        <v>37.6</v>
      </c>
      <c r="C138" s="5">
        <v>5.42</v>
      </c>
      <c r="D138" s="5">
        <v>33.200000000000003</v>
      </c>
      <c r="E138" s="5">
        <v>9.08</v>
      </c>
      <c r="F138" s="5">
        <v>23.4</v>
      </c>
      <c r="G138" s="5">
        <v>0.35</v>
      </c>
      <c r="H138" s="5">
        <v>811</v>
      </c>
      <c r="I138" s="5">
        <v>4</v>
      </c>
      <c r="J138" s="5">
        <v>0</v>
      </c>
      <c r="K138" s="5">
        <v>9.3106289480911855</v>
      </c>
      <c r="L138" s="5">
        <v>35.017852238396046</v>
      </c>
      <c r="M138" s="5">
        <v>47.074979401263391</v>
      </c>
      <c r="N138" s="5">
        <v>5.4380664652567985</v>
      </c>
      <c r="O138" s="5">
        <v>2.8430008764483508</v>
      </c>
      <c r="P138" t="s">
        <v>34</v>
      </c>
      <c r="Q138" t="s">
        <v>52</v>
      </c>
    </row>
    <row r="139" spans="1:17" x14ac:dyDescent="0.3">
      <c r="A139">
        <f t="shared" si="2"/>
        <v>135</v>
      </c>
      <c r="B139">
        <v>37.6</v>
      </c>
      <c r="C139" s="5">
        <v>5.42</v>
      </c>
      <c r="D139" s="5">
        <v>33.200000000000003</v>
      </c>
      <c r="E139" s="5">
        <v>9.08</v>
      </c>
      <c r="F139" s="5">
        <v>23.4</v>
      </c>
      <c r="G139" s="5">
        <v>0.35</v>
      </c>
      <c r="H139" s="5">
        <v>670</v>
      </c>
      <c r="I139" s="5">
        <v>4</v>
      </c>
      <c r="J139" s="5">
        <v>0</v>
      </c>
      <c r="K139" s="5">
        <v>9.2994573260976807</v>
      </c>
      <c r="L139" s="5">
        <v>45.115934879131721</v>
      </c>
      <c r="M139" s="5">
        <v>35.76714356191416</v>
      </c>
      <c r="N139" s="5">
        <v>5.8214109521460289</v>
      </c>
      <c r="O139" s="5">
        <v>2.1394299524788094</v>
      </c>
      <c r="P139" t="s">
        <v>34</v>
      </c>
      <c r="Q139" t="s">
        <v>52</v>
      </c>
    </row>
    <row r="140" spans="1:17" x14ac:dyDescent="0.3">
      <c r="A140">
        <f t="shared" si="2"/>
        <v>136</v>
      </c>
      <c r="B140">
        <v>37.6</v>
      </c>
      <c r="C140" s="5">
        <v>5.42</v>
      </c>
      <c r="D140" s="5">
        <v>33.200000000000003</v>
      </c>
      <c r="E140" s="5">
        <v>9.08</v>
      </c>
      <c r="F140" s="5">
        <v>23.4</v>
      </c>
      <c r="G140" s="5">
        <v>0.3</v>
      </c>
      <c r="H140" s="5">
        <v>750</v>
      </c>
      <c r="I140" s="5">
        <v>4</v>
      </c>
      <c r="J140" s="5">
        <v>0</v>
      </c>
      <c r="K140" s="5">
        <v>9.0473656200106447</v>
      </c>
      <c r="L140" s="5">
        <v>38.398084087280473</v>
      </c>
      <c r="M140" s="5">
        <v>43.79989356040447</v>
      </c>
      <c r="N140" s="5">
        <v>5.3219797764768497</v>
      </c>
      <c r="O140" s="5">
        <v>2.4553189387508483</v>
      </c>
      <c r="P140" t="s">
        <v>34</v>
      </c>
      <c r="Q140" t="s">
        <v>52</v>
      </c>
    </row>
    <row r="141" spans="1:17" x14ac:dyDescent="0.3">
      <c r="A141">
        <f t="shared" si="2"/>
        <v>137</v>
      </c>
      <c r="B141">
        <v>37.6</v>
      </c>
      <c r="C141" s="5">
        <v>5.42</v>
      </c>
      <c r="D141" s="5">
        <v>33.200000000000003</v>
      </c>
      <c r="E141" s="5">
        <v>9.08</v>
      </c>
      <c r="F141" s="5">
        <v>23.4</v>
      </c>
      <c r="G141" s="5">
        <v>0.35</v>
      </c>
      <c r="H141" s="5">
        <v>822</v>
      </c>
      <c r="I141" s="5">
        <v>4</v>
      </c>
      <c r="J141" s="5">
        <v>0</v>
      </c>
      <c r="K141" s="5">
        <v>9.0833101142379498</v>
      </c>
      <c r="L141" s="5">
        <v>34.828643076065752</v>
      </c>
      <c r="M141" s="5">
        <v>48.007801616049036</v>
      </c>
      <c r="N141" s="5">
        <v>5.1546391752577323</v>
      </c>
      <c r="O141" s="5">
        <v>2.8286422861632583</v>
      </c>
      <c r="P141" t="s">
        <v>34</v>
      </c>
      <c r="Q141" t="s">
        <v>52</v>
      </c>
    </row>
    <row r="142" spans="1:17" x14ac:dyDescent="0.3">
      <c r="A142">
        <f t="shared" si="2"/>
        <v>138</v>
      </c>
      <c r="B142">
        <v>37.6</v>
      </c>
      <c r="C142" s="5">
        <v>5.42</v>
      </c>
      <c r="D142" s="5">
        <v>33.200000000000003</v>
      </c>
      <c r="E142" s="5">
        <v>9.08</v>
      </c>
      <c r="F142" s="5">
        <v>23.4</v>
      </c>
      <c r="G142" s="5">
        <v>0.35</v>
      </c>
      <c r="H142" s="5">
        <v>700</v>
      </c>
      <c r="I142" s="5">
        <v>4</v>
      </c>
      <c r="J142" s="5">
        <v>0</v>
      </c>
      <c r="K142" s="5">
        <v>9.2487116897206416</v>
      </c>
      <c r="L142" s="5">
        <v>41.036072687822077</v>
      </c>
      <c r="M142" s="5">
        <v>40.195280716029295</v>
      </c>
      <c r="N142" s="5">
        <v>5.4244643341470038</v>
      </c>
      <c r="O142" s="5">
        <v>1.8666167370620486</v>
      </c>
      <c r="P142" t="s">
        <v>34</v>
      </c>
      <c r="Q142" t="s">
        <v>52</v>
      </c>
    </row>
    <row r="143" spans="1:17" x14ac:dyDescent="0.3">
      <c r="A143">
        <f t="shared" si="2"/>
        <v>139</v>
      </c>
      <c r="B143">
        <v>37.6</v>
      </c>
      <c r="C143" s="5">
        <v>5.42</v>
      </c>
      <c r="D143" s="5">
        <v>33.200000000000003</v>
      </c>
      <c r="E143" s="5">
        <v>9.08</v>
      </c>
      <c r="F143" s="5">
        <v>23.4</v>
      </c>
      <c r="G143" s="5">
        <v>0.3</v>
      </c>
      <c r="H143" s="5">
        <v>766</v>
      </c>
      <c r="I143" s="5">
        <v>4</v>
      </c>
      <c r="J143" s="5">
        <v>0</v>
      </c>
      <c r="K143" s="5">
        <v>9.2171016102165453</v>
      </c>
      <c r="L143" s="5">
        <v>36.091060521932256</v>
      </c>
      <c r="M143" s="5">
        <v>46.14103275957801</v>
      </c>
      <c r="N143" s="5">
        <v>5.3026096612992779</v>
      </c>
      <c r="O143" s="5">
        <v>2.1537885427639023</v>
      </c>
      <c r="P143" t="s">
        <v>34</v>
      </c>
      <c r="Q143" t="s">
        <v>52</v>
      </c>
    </row>
    <row r="144" spans="1:17" x14ac:dyDescent="0.3">
      <c r="A144">
        <f t="shared" si="2"/>
        <v>140</v>
      </c>
      <c r="B144">
        <v>37.6</v>
      </c>
      <c r="C144" s="5">
        <v>5.42</v>
      </c>
      <c r="D144" s="5">
        <v>33.200000000000003</v>
      </c>
      <c r="E144" s="5">
        <v>9.08</v>
      </c>
      <c r="F144" s="5">
        <v>23.4</v>
      </c>
      <c r="G144" s="5">
        <v>0.35</v>
      </c>
      <c r="H144" s="5">
        <v>828</v>
      </c>
      <c r="I144" s="5">
        <v>4</v>
      </c>
      <c r="J144" s="5">
        <v>0</v>
      </c>
      <c r="K144" s="5">
        <v>9.0807488125174611</v>
      </c>
      <c r="L144" s="5">
        <v>34.339200894104493</v>
      </c>
      <c r="M144" s="5">
        <v>48.672813635093597</v>
      </c>
      <c r="N144" s="5">
        <v>5.1411008661637316</v>
      </c>
      <c r="O144" s="5">
        <v>2.4409603484657558</v>
      </c>
      <c r="P144" t="s">
        <v>34</v>
      </c>
      <c r="Q144" t="s">
        <v>52</v>
      </c>
    </row>
    <row r="145" spans="1:17" x14ac:dyDescent="0.3">
      <c r="A145">
        <f t="shared" si="2"/>
        <v>141</v>
      </c>
      <c r="B145">
        <v>49</v>
      </c>
      <c r="C145" s="5">
        <v>6.1</v>
      </c>
      <c r="D145" s="5">
        <v>44.4</v>
      </c>
      <c r="E145" s="5">
        <v>7</v>
      </c>
      <c r="F145" s="5">
        <v>0.4</v>
      </c>
      <c r="G145" s="5">
        <v>0.21</v>
      </c>
      <c r="H145" s="5">
        <v>700</v>
      </c>
      <c r="I145" s="5">
        <v>4</v>
      </c>
      <c r="J145" s="5">
        <v>0</v>
      </c>
      <c r="K145" s="5">
        <v>22.05</v>
      </c>
      <c r="L145" s="5">
        <v>29.87</v>
      </c>
      <c r="M145" s="5">
        <v>34.19</v>
      </c>
      <c r="N145" s="5">
        <v>9.51</v>
      </c>
      <c r="O145" s="5">
        <v>0.69093578615537421</v>
      </c>
      <c r="P145" t="s">
        <v>53</v>
      </c>
      <c r="Q145" t="s">
        <v>54</v>
      </c>
    </row>
    <row r="146" spans="1:17" x14ac:dyDescent="0.3">
      <c r="A146">
        <f t="shared" si="2"/>
        <v>142</v>
      </c>
      <c r="B146">
        <v>49</v>
      </c>
      <c r="C146" s="5">
        <v>6.1</v>
      </c>
      <c r="D146" s="5">
        <v>44.4</v>
      </c>
      <c r="E146" s="5">
        <v>7</v>
      </c>
      <c r="F146" s="5">
        <v>0.4</v>
      </c>
      <c r="G146" s="5">
        <v>0.21</v>
      </c>
      <c r="H146" s="5">
        <v>700</v>
      </c>
      <c r="I146" s="5">
        <v>4</v>
      </c>
      <c r="J146" s="5">
        <v>0</v>
      </c>
      <c r="K146" s="5">
        <v>20.27</v>
      </c>
      <c r="L146" s="5">
        <v>30.61</v>
      </c>
      <c r="M146" s="5">
        <v>34.729999999999997</v>
      </c>
      <c r="N146" s="5">
        <v>10.18</v>
      </c>
      <c r="O146" s="5">
        <v>0.96083257762231722</v>
      </c>
      <c r="P146" t="s">
        <v>53</v>
      </c>
      <c r="Q146" t="s">
        <v>54</v>
      </c>
    </row>
    <row r="147" spans="1:17" x14ac:dyDescent="0.3">
      <c r="A147">
        <f t="shared" si="2"/>
        <v>143</v>
      </c>
      <c r="B147">
        <v>49</v>
      </c>
      <c r="C147" s="5">
        <v>6.1</v>
      </c>
      <c r="D147" s="5">
        <v>44.4</v>
      </c>
      <c r="E147" s="5">
        <v>7</v>
      </c>
      <c r="F147" s="5">
        <v>0.4</v>
      </c>
      <c r="G147" s="5">
        <v>0.21</v>
      </c>
      <c r="H147" s="5">
        <v>700</v>
      </c>
      <c r="I147" s="5">
        <v>4</v>
      </c>
      <c r="J147" s="5">
        <v>0</v>
      </c>
      <c r="K147" s="5">
        <v>21.54</v>
      </c>
      <c r="L147" s="5">
        <v>31.29</v>
      </c>
      <c r="M147" s="5">
        <v>34.590000000000003</v>
      </c>
      <c r="N147" s="5">
        <v>9.76</v>
      </c>
      <c r="O147" s="5">
        <v>0.93924083430496175</v>
      </c>
      <c r="P147" t="s">
        <v>53</v>
      </c>
      <c r="Q147" t="s">
        <v>54</v>
      </c>
    </row>
    <row r="148" spans="1:17" x14ac:dyDescent="0.3">
      <c r="A148">
        <f t="shared" si="2"/>
        <v>144</v>
      </c>
      <c r="B148">
        <v>49</v>
      </c>
      <c r="C148" s="5">
        <v>6.1</v>
      </c>
      <c r="D148" s="5">
        <v>44.4</v>
      </c>
      <c r="E148" s="5">
        <v>7</v>
      </c>
      <c r="F148" s="5">
        <v>0.4</v>
      </c>
      <c r="G148" s="5">
        <v>0.25</v>
      </c>
      <c r="H148" s="5">
        <v>750</v>
      </c>
      <c r="I148" s="5">
        <v>4</v>
      </c>
      <c r="J148" s="5">
        <v>0</v>
      </c>
      <c r="K148" s="5">
        <v>18.059999999999999</v>
      </c>
      <c r="L148" s="5">
        <v>34.83</v>
      </c>
      <c r="M148" s="5">
        <v>31.88</v>
      </c>
      <c r="N148" s="5">
        <v>10.19</v>
      </c>
      <c r="O148" s="5">
        <v>1.0795871658677723</v>
      </c>
      <c r="P148" t="s">
        <v>53</v>
      </c>
      <c r="Q148" t="s">
        <v>54</v>
      </c>
    </row>
    <row r="149" spans="1:17" x14ac:dyDescent="0.3">
      <c r="A149">
        <f t="shared" si="2"/>
        <v>145</v>
      </c>
      <c r="B149">
        <v>49</v>
      </c>
      <c r="C149" s="5">
        <v>6.1</v>
      </c>
      <c r="D149" s="5">
        <v>44.4</v>
      </c>
      <c r="E149" s="5">
        <v>7</v>
      </c>
      <c r="F149" s="5">
        <v>0.4</v>
      </c>
      <c r="G149" s="5">
        <v>0.24</v>
      </c>
      <c r="H149" s="5">
        <v>750</v>
      </c>
      <c r="I149" s="5">
        <v>4</v>
      </c>
      <c r="J149" s="5">
        <v>0</v>
      </c>
      <c r="K149" s="5">
        <v>18.93</v>
      </c>
      <c r="L149" s="5">
        <v>33.69</v>
      </c>
      <c r="M149" s="5">
        <v>32.42</v>
      </c>
      <c r="N149" s="5">
        <v>10.02</v>
      </c>
      <c r="O149" s="5">
        <v>1.0471995508917389</v>
      </c>
      <c r="P149" t="s">
        <v>53</v>
      </c>
      <c r="Q149" t="s">
        <v>54</v>
      </c>
    </row>
    <row r="150" spans="1:17" x14ac:dyDescent="0.3">
      <c r="A150">
        <f t="shared" si="2"/>
        <v>146</v>
      </c>
      <c r="B150">
        <v>49</v>
      </c>
      <c r="C150" s="5">
        <v>6.1</v>
      </c>
      <c r="D150" s="5">
        <v>44.4</v>
      </c>
      <c r="E150" s="5">
        <v>7</v>
      </c>
      <c r="F150" s="5">
        <v>0.4</v>
      </c>
      <c r="G150" s="5">
        <v>0.24</v>
      </c>
      <c r="H150" s="5">
        <v>750</v>
      </c>
      <c r="I150" s="5">
        <v>4</v>
      </c>
      <c r="J150" s="5">
        <v>0</v>
      </c>
      <c r="K150" s="5">
        <v>20.2</v>
      </c>
      <c r="L150" s="5">
        <v>31.92</v>
      </c>
      <c r="M150" s="5">
        <v>33.19</v>
      </c>
      <c r="N150" s="5">
        <v>9.84</v>
      </c>
      <c r="O150" s="5">
        <v>1.0579954225504167</v>
      </c>
      <c r="P150" t="s">
        <v>53</v>
      </c>
      <c r="Q150" t="s">
        <v>54</v>
      </c>
    </row>
    <row r="151" spans="1:17" x14ac:dyDescent="0.3">
      <c r="A151">
        <f t="shared" si="2"/>
        <v>147</v>
      </c>
      <c r="B151">
        <v>49</v>
      </c>
      <c r="C151" s="5">
        <v>6.1</v>
      </c>
      <c r="D151" s="5">
        <v>44.4</v>
      </c>
      <c r="E151" s="5">
        <v>7</v>
      </c>
      <c r="F151" s="5">
        <v>0.4</v>
      </c>
      <c r="G151" s="5">
        <v>0.23</v>
      </c>
      <c r="H151" s="5">
        <v>800</v>
      </c>
      <c r="I151" s="5">
        <v>4</v>
      </c>
      <c r="J151" s="5">
        <v>0</v>
      </c>
      <c r="K151" s="5">
        <v>19.87</v>
      </c>
      <c r="L151" s="5">
        <v>36.630000000000003</v>
      </c>
      <c r="M151" s="5">
        <v>29.73</v>
      </c>
      <c r="N151" s="5">
        <v>9.81</v>
      </c>
      <c r="O151" s="5">
        <v>1.1227706525024832</v>
      </c>
      <c r="P151" t="s">
        <v>53</v>
      </c>
      <c r="Q151" t="s">
        <v>54</v>
      </c>
    </row>
    <row r="152" spans="1:17" x14ac:dyDescent="0.3">
      <c r="A152">
        <f t="shared" si="2"/>
        <v>148</v>
      </c>
      <c r="B152">
        <v>49</v>
      </c>
      <c r="C152" s="5">
        <v>6.1</v>
      </c>
      <c r="D152" s="5">
        <v>44.4</v>
      </c>
      <c r="E152" s="5">
        <v>7</v>
      </c>
      <c r="F152" s="5">
        <v>0.4</v>
      </c>
      <c r="G152" s="5">
        <v>0.23</v>
      </c>
      <c r="H152" s="5">
        <v>800</v>
      </c>
      <c r="I152" s="5">
        <v>4</v>
      </c>
      <c r="J152" s="5">
        <v>0</v>
      </c>
      <c r="K152" s="5">
        <v>20.75</v>
      </c>
      <c r="L152" s="5">
        <v>34.159999999999997</v>
      </c>
      <c r="M152" s="5">
        <v>31.82</v>
      </c>
      <c r="N152" s="5">
        <v>9.5</v>
      </c>
      <c r="O152" s="5">
        <v>1.0903830375264498</v>
      </c>
      <c r="P152" t="s">
        <v>53</v>
      </c>
      <c r="Q152" t="s">
        <v>54</v>
      </c>
    </row>
    <row r="153" spans="1:17" x14ac:dyDescent="0.3">
      <c r="A153">
        <f t="shared" si="2"/>
        <v>149</v>
      </c>
      <c r="B153">
        <v>49</v>
      </c>
      <c r="C153" s="5">
        <v>6.1</v>
      </c>
      <c r="D153" s="5">
        <v>44.4</v>
      </c>
      <c r="E153" s="5">
        <v>7</v>
      </c>
      <c r="F153" s="5">
        <v>0.4</v>
      </c>
      <c r="G153" s="5">
        <v>0.22</v>
      </c>
      <c r="H153" s="5">
        <v>800</v>
      </c>
      <c r="I153" s="5">
        <v>4</v>
      </c>
      <c r="J153" s="5">
        <v>0</v>
      </c>
      <c r="K153" s="5">
        <v>19.87</v>
      </c>
      <c r="L153" s="5">
        <v>36.630000000000003</v>
      </c>
      <c r="M153" s="5">
        <v>29.73</v>
      </c>
      <c r="N153" s="5">
        <v>9.81</v>
      </c>
      <c r="O153" s="5">
        <v>1.0903830375264498</v>
      </c>
      <c r="P153" t="s">
        <v>53</v>
      </c>
      <c r="Q153" t="s">
        <v>54</v>
      </c>
    </row>
    <row r="154" spans="1:17" x14ac:dyDescent="0.3">
      <c r="A154">
        <f t="shared" si="2"/>
        <v>150</v>
      </c>
      <c r="B154">
        <v>48.11</v>
      </c>
      <c r="C154" s="5">
        <v>5.58</v>
      </c>
      <c r="D154" s="5">
        <v>39.42</v>
      </c>
      <c r="E154" s="5">
        <v>7.03</v>
      </c>
      <c r="F154" s="5">
        <v>6.1</v>
      </c>
      <c r="G154" s="5">
        <v>0.3</v>
      </c>
      <c r="H154" s="5">
        <v>826</v>
      </c>
      <c r="I154" s="5">
        <v>1</v>
      </c>
      <c r="J154" s="5">
        <v>0</v>
      </c>
      <c r="K154" s="5">
        <v>19.547511312217193</v>
      </c>
      <c r="L154" s="5">
        <v>42.782805429864254</v>
      </c>
      <c r="M154" s="5">
        <v>28.303167420814479</v>
      </c>
      <c r="N154" s="5">
        <v>6.6063348416289589</v>
      </c>
      <c r="O154" s="5">
        <v>2.17</v>
      </c>
      <c r="P154" t="s">
        <v>55</v>
      </c>
      <c r="Q154" t="s">
        <v>56</v>
      </c>
    </row>
    <row r="155" spans="1:17" x14ac:dyDescent="0.3">
      <c r="A155">
        <f t="shared" si="2"/>
        <v>151</v>
      </c>
      <c r="B155">
        <v>48.11</v>
      </c>
      <c r="C155" s="5">
        <v>5.58</v>
      </c>
      <c r="D155" s="5">
        <v>39.42</v>
      </c>
      <c r="E155" s="5">
        <v>7.03</v>
      </c>
      <c r="F155" s="5">
        <v>6.1</v>
      </c>
      <c r="G155" s="5">
        <v>0.28999999999999998</v>
      </c>
      <c r="H155" s="5">
        <v>874</v>
      </c>
      <c r="I155" s="5">
        <v>1</v>
      </c>
      <c r="J155" s="5">
        <v>0</v>
      </c>
      <c r="K155" s="5">
        <v>23.475283543762039</v>
      </c>
      <c r="L155" s="5">
        <v>41.343890434410447</v>
      </c>
      <c r="M155" s="5">
        <v>26.621014337684574</v>
      </c>
      <c r="N155" s="5">
        <v>6.1416648833725658</v>
      </c>
      <c r="O155" s="5">
        <v>2.17</v>
      </c>
      <c r="P155" t="s">
        <v>55</v>
      </c>
      <c r="Q155" t="s">
        <v>56</v>
      </c>
    </row>
    <row r="156" spans="1:17" x14ac:dyDescent="0.3">
      <c r="A156">
        <f t="shared" si="2"/>
        <v>152</v>
      </c>
      <c r="B156">
        <v>48.91</v>
      </c>
      <c r="C156" s="5">
        <v>5.9</v>
      </c>
      <c r="D156" s="5">
        <v>33.08</v>
      </c>
      <c r="E156" s="5">
        <v>9.69</v>
      </c>
      <c r="F156" s="5">
        <v>11.37</v>
      </c>
      <c r="G156" s="5">
        <v>0.2</v>
      </c>
      <c r="H156" s="5">
        <v>700</v>
      </c>
      <c r="I156" s="5">
        <v>3</v>
      </c>
      <c r="J156" s="5">
        <v>0</v>
      </c>
      <c r="K156" s="5">
        <v>26.574015582227837</v>
      </c>
      <c r="L156" s="5">
        <v>22.488945041061275</v>
      </c>
      <c r="M156" s="5">
        <v>35.754895767530002</v>
      </c>
      <c r="N156" s="5">
        <v>10.275847546851969</v>
      </c>
      <c r="O156" s="5">
        <v>1.82</v>
      </c>
      <c r="P156" t="s">
        <v>55</v>
      </c>
      <c r="Q156" t="s">
        <v>57</v>
      </c>
    </row>
    <row r="157" spans="1:17" x14ac:dyDescent="0.3">
      <c r="A157">
        <f t="shared" si="2"/>
        <v>153</v>
      </c>
      <c r="B157">
        <v>48.91</v>
      </c>
      <c r="C157" s="5">
        <v>5.9</v>
      </c>
      <c r="D157" s="5">
        <v>33.08</v>
      </c>
      <c r="E157" s="5">
        <v>9.69</v>
      </c>
      <c r="F157" s="5">
        <v>11.37</v>
      </c>
      <c r="G157" s="5">
        <v>0.2</v>
      </c>
      <c r="H157" s="5">
        <v>760</v>
      </c>
      <c r="I157" s="5">
        <v>3</v>
      </c>
      <c r="J157" s="5">
        <v>0</v>
      </c>
      <c r="K157" s="5">
        <v>26.311728395061728</v>
      </c>
      <c r="L157" s="5">
        <v>26.793981481481481</v>
      </c>
      <c r="M157" s="5">
        <v>32.465277777777771</v>
      </c>
      <c r="N157" s="5">
        <v>10.204475308641975</v>
      </c>
      <c r="O157" s="5">
        <v>1.9</v>
      </c>
      <c r="P157" t="s">
        <v>55</v>
      </c>
      <c r="Q157" t="s">
        <v>57</v>
      </c>
    </row>
    <row r="158" spans="1:17" x14ac:dyDescent="0.3">
      <c r="A158">
        <f t="shared" si="2"/>
        <v>154</v>
      </c>
      <c r="B158">
        <v>48.91</v>
      </c>
      <c r="C158" s="5">
        <v>5.9</v>
      </c>
      <c r="D158" s="5">
        <v>33.08</v>
      </c>
      <c r="E158" s="5">
        <v>9.69</v>
      </c>
      <c r="F158" s="5">
        <v>11.37</v>
      </c>
      <c r="G158" s="5">
        <v>0.2</v>
      </c>
      <c r="H158" s="5">
        <v>800</v>
      </c>
      <c r="I158" s="5">
        <v>3</v>
      </c>
      <c r="J158" s="5">
        <v>0</v>
      </c>
      <c r="K158" s="5">
        <v>28.707627118644073</v>
      </c>
      <c r="L158" s="5">
        <v>29.502118644067796</v>
      </c>
      <c r="M158" s="5">
        <v>29.237288135593214</v>
      </c>
      <c r="N158" s="5">
        <v>8.59816384180791</v>
      </c>
      <c r="O158" s="5">
        <v>2.04</v>
      </c>
      <c r="P158" t="s">
        <v>55</v>
      </c>
      <c r="Q158" t="s">
        <v>57</v>
      </c>
    </row>
    <row r="159" spans="1:17" x14ac:dyDescent="0.3">
      <c r="A159">
        <f t="shared" si="2"/>
        <v>155</v>
      </c>
      <c r="B159" s="5">
        <v>45.889600000000002</v>
      </c>
      <c r="C159" s="5">
        <v>5.6372999999999998</v>
      </c>
      <c r="D159" s="5">
        <v>47.175300000000007</v>
      </c>
      <c r="E159" s="5">
        <v>9.5</v>
      </c>
      <c r="F159" s="5">
        <v>1.1000000000000001</v>
      </c>
      <c r="G159" s="5">
        <v>0.38</v>
      </c>
      <c r="H159" s="5">
        <v>761</v>
      </c>
      <c r="I159" s="5">
        <v>1</v>
      </c>
      <c r="J159" s="5">
        <v>0</v>
      </c>
      <c r="K159" s="5">
        <v>15.5</v>
      </c>
      <c r="L159" s="5">
        <v>31.6</v>
      </c>
      <c r="M159" s="5">
        <v>38.1</v>
      </c>
      <c r="N159" s="5">
        <v>8.4</v>
      </c>
      <c r="O159" s="5">
        <v>2.0985507246376813</v>
      </c>
      <c r="P159" t="s">
        <v>25</v>
      </c>
      <c r="Q159" t="s">
        <v>58</v>
      </c>
    </row>
    <row r="160" spans="1:17" x14ac:dyDescent="0.3">
      <c r="A160">
        <f t="shared" si="2"/>
        <v>156</v>
      </c>
      <c r="B160" s="5">
        <v>45.889600000000002</v>
      </c>
      <c r="C160" s="5">
        <v>5.6372999999999998</v>
      </c>
      <c r="D160" s="5">
        <v>47.175300000000007</v>
      </c>
      <c r="E160" s="5">
        <v>18.100000000000001</v>
      </c>
      <c r="F160" s="5">
        <v>1.1000000000000001</v>
      </c>
      <c r="G160" s="5">
        <v>0.38</v>
      </c>
      <c r="H160" s="5">
        <v>730</v>
      </c>
      <c r="I160" s="5">
        <v>1</v>
      </c>
      <c r="J160" s="5">
        <v>0</v>
      </c>
      <c r="K160" s="5">
        <v>13.9</v>
      </c>
      <c r="L160" s="5">
        <v>28.7</v>
      </c>
      <c r="M160" s="5">
        <v>43.8</v>
      </c>
      <c r="N160" s="5">
        <v>8.6999999999999993</v>
      </c>
      <c r="O160" s="5">
        <v>2.0399260172626388</v>
      </c>
      <c r="P160" t="s">
        <v>25</v>
      </c>
      <c r="Q160" t="s">
        <v>58</v>
      </c>
    </row>
    <row r="161" spans="1:17" x14ac:dyDescent="0.3">
      <c r="A161">
        <f t="shared" si="2"/>
        <v>157</v>
      </c>
      <c r="B161" s="5">
        <v>45.889600000000002</v>
      </c>
      <c r="C161" s="5">
        <v>5.6372999999999998</v>
      </c>
      <c r="D161" s="5">
        <v>47.175300000000007</v>
      </c>
      <c r="E161" s="5">
        <v>25.5</v>
      </c>
      <c r="F161" s="5">
        <v>1.1000000000000001</v>
      </c>
      <c r="G161" s="5">
        <v>0.38</v>
      </c>
      <c r="H161" s="5">
        <v>699</v>
      </c>
      <c r="I161" s="5">
        <v>1</v>
      </c>
      <c r="J161" s="5">
        <v>0</v>
      </c>
      <c r="K161" s="5">
        <v>14.1</v>
      </c>
      <c r="L161" s="5">
        <v>27</v>
      </c>
      <c r="M161" s="5">
        <v>45.8</v>
      </c>
      <c r="N161" s="5">
        <v>8.3000000000000007</v>
      </c>
      <c r="O161" s="5">
        <v>2.0217096336499321</v>
      </c>
      <c r="P161" t="s">
        <v>25</v>
      </c>
      <c r="Q161" t="s">
        <v>58</v>
      </c>
    </row>
    <row r="162" spans="1:17" x14ac:dyDescent="0.3">
      <c r="A162">
        <f t="shared" si="2"/>
        <v>158</v>
      </c>
      <c r="B162" s="5">
        <v>45.889600000000002</v>
      </c>
      <c r="C162" s="5">
        <v>5.6372999999999998</v>
      </c>
      <c r="D162" s="5">
        <v>47.175300000000007</v>
      </c>
      <c r="E162" s="5">
        <v>27</v>
      </c>
      <c r="F162" s="5">
        <v>1.1000000000000001</v>
      </c>
      <c r="G162" s="5">
        <v>0.36</v>
      </c>
      <c r="H162" s="5">
        <v>703.5</v>
      </c>
      <c r="I162" s="5">
        <v>1</v>
      </c>
      <c r="J162" s="5">
        <v>0</v>
      </c>
      <c r="K162" s="5">
        <v>13.57</v>
      </c>
      <c r="L162" s="5">
        <v>27.57</v>
      </c>
      <c r="M162" s="5">
        <v>45.46</v>
      </c>
      <c r="N162" s="5">
        <v>8.26</v>
      </c>
      <c r="O162" s="5">
        <v>1.9</v>
      </c>
      <c r="P162" t="s">
        <v>25</v>
      </c>
      <c r="Q162" t="s">
        <v>58</v>
      </c>
    </row>
    <row r="163" spans="1:17" x14ac:dyDescent="0.3">
      <c r="A163">
        <f t="shared" si="2"/>
        <v>159</v>
      </c>
      <c r="B163" s="5">
        <v>45.889600000000002</v>
      </c>
      <c r="C163" s="5">
        <v>5.6372999999999998</v>
      </c>
      <c r="D163" s="5">
        <v>47.175300000000007</v>
      </c>
      <c r="E163" s="5">
        <v>27</v>
      </c>
      <c r="F163" s="5">
        <v>1.1000000000000001</v>
      </c>
      <c r="G163" s="5">
        <v>0.39</v>
      </c>
      <c r="H163" s="5">
        <v>729.9</v>
      </c>
      <c r="I163" s="5">
        <v>1</v>
      </c>
      <c r="J163" s="5">
        <v>0</v>
      </c>
      <c r="K163" s="5">
        <v>13.9</v>
      </c>
      <c r="L163" s="5">
        <v>27.64</v>
      </c>
      <c r="M163" s="5">
        <v>45.79</v>
      </c>
      <c r="N163" s="5">
        <v>8.07</v>
      </c>
      <c r="O163" s="5">
        <v>2</v>
      </c>
      <c r="P163" t="s">
        <v>25</v>
      </c>
      <c r="Q163" t="s">
        <v>58</v>
      </c>
    </row>
    <row r="164" spans="1:17" x14ac:dyDescent="0.3">
      <c r="A164">
        <f t="shared" si="2"/>
        <v>160</v>
      </c>
      <c r="B164" s="5">
        <v>45.889600000000002</v>
      </c>
      <c r="C164" s="5">
        <v>5.6372999999999998</v>
      </c>
      <c r="D164" s="5">
        <v>47.175300000000007</v>
      </c>
      <c r="E164" s="5">
        <v>27</v>
      </c>
      <c r="F164" s="5">
        <v>1.1000000000000001</v>
      </c>
      <c r="G164" s="5">
        <v>0.45</v>
      </c>
      <c r="H164" s="5">
        <v>738.2</v>
      </c>
      <c r="I164" s="5">
        <v>1</v>
      </c>
      <c r="J164" s="5">
        <v>0</v>
      </c>
      <c r="K164" s="5">
        <v>14.29</v>
      </c>
      <c r="L164" s="5">
        <v>27.34</v>
      </c>
      <c r="M164" s="5">
        <v>46.03</v>
      </c>
      <c r="N164" s="5">
        <v>7.93</v>
      </c>
      <c r="O164" s="5">
        <v>2.1800000000000002</v>
      </c>
      <c r="P164" t="s">
        <v>25</v>
      </c>
      <c r="Q164" t="s">
        <v>58</v>
      </c>
    </row>
    <row r="165" spans="1:17" x14ac:dyDescent="0.3">
      <c r="A165">
        <f t="shared" si="2"/>
        <v>161</v>
      </c>
      <c r="B165" s="5">
        <v>45.889600000000002</v>
      </c>
      <c r="C165" s="5">
        <v>5.6372999999999998</v>
      </c>
      <c r="D165" s="5">
        <v>47.175300000000007</v>
      </c>
      <c r="E165" s="5">
        <v>27</v>
      </c>
      <c r="F165" s="5">
        <v>1.1000000000000001</v>
      </c>
      <c r="G165" s="5">
        <v>0.49</v>
      </c>
      <c r="H165" s="5">
        <v>765.4</v>
      </c>
      <c r="I165" s="5">
        <v>1</v>
      </c>
      <c r="J165" s="5">
        <v>0</v>
      </c>
      <c r="K165" s="5">
        <v>14.06</v>
      </c>
      <c r="L165" s="5">
        <v>26.8</v>
      </c>
      <c r="M165" s="5">
        <v>47.16</v>
      </c>
      <c r="N165" s="5">
        <v>7.82</v>
      </c>
      <c r="O165" s="5">
        <v>2.4500000000000002</v>
      </c>
      <c r="P165" t="s">
        <v>25</v>
      </c>
      <c r="Q165" t="s">
        <v>58</v>
      </c>
    </row>
    <row r="166" spans="1:17" x14ac:dyDescent="0.3">
      <c r="A166">
        <f t="shared" si="2"/>
        <v>162</v>
      </c>
      <c r="B166">
        <v>50.13</v>
      </c>
      <c r="C166" s="5">
        <v>6.0846560846560847</v>
      </c>
      <c r="D166" s="5">
        <v>41.534391534391538</v>
      </c>
      <c r="E166" s="5">
        <v>24.4</v>
      </c>
      <c r="F166" s="5">
        <v>1.59</v>
      </c>
      <c r="G166" s="5">
        <v>0.3</v>
      </c>
      <c r="H166" s="5">
        <v>726.3</v>
      </c>
      <c r="I166" s="5">
        <v>1</v>
      </c>
      <c r="J166" s="5">
        <v>0</v>
      </c>
      <c r="K166" s="5">
        <v>14.06</v>
      </c>
      <c r="L166" s="5">
        <v>33.25</v>
      </c>
      <c r="M166" s="5">
        <v>40.99</v>
      </c>
      <c r="N166" s="5">
        <v>7.85</v>
      </c>
      <c r="O166" s="5">
        <v>1.86</v>
      </c>
      <c r="P166" t="s">
        <v>59</v>
      </c>
      <c r="Q166" t="s">
        <v>58</v>
      </c>
    </row>
    <row r="167" spans="1:17" x14ac:dyDescent="0.3">
      <c r="A167">
        <f t="shared" si="2"/>
        <v>163</v>
      </c>
      <c r="B167">
        <v>50.13</v>
      </c>
      <c r="C167" s="5">
        <v>6.0846560846560847</v>
      </c>
      <c r="D167" s="5">
        <v>41.534391534391538</v>
      </c>
      <c r="E167" s="5">
        <v>24.4</v>
      </c>
      <c r="F167" s="5">
        <v>1.59</v>
      </c>
      <c r="G167" s="5">
        <v>0.38</v>
      </c>
      <c r="H167" s="5">
        <v>767.2</v>
      </c>
      <c r="I167" s="5">
        <v>1</v>
      </c>
      <c r="J167" s="5">
        <v>0</v>
      </c>
      <c r="K167" s="5">
        <v>14.58</v>
      </c>
      <c r="L167" s="5">
        <v>32.44</v>
      </c>
      <c r="M167" s="5">
        <v>41.26</v>
      </c>
      <c r="N167" s="5">
        <v>8.01</v>
      </c>
      <c r="O167" s="5">
        <v>2.2999999999999998</v>
      </c>
      <c r="P167" t="s">
        <v>59</v>
      </c>
      <c r="Q167" t="s">
        <v>58</v>
      </c>
    </row>
    <row r="168" spans="1:17" x14ac:dyDescent="0.3">
      <c r="A168">
        <f t="shared" si="2"/>
        <v>164</v>
      </c>
      <c r="B168">
        <v>50.13</v>
      </c>
      <c r="C168" s="5">
        <v>6.0846560846560847</v>
      </c>
      <c r="D168" s="5">
        <v>41.534391534391538</v>
      </c>
      <c r="E168" s="5">
        <v>24.4</v>
      </c>
      <c r="F168" s="5">
        <v>1.59</v>
      </c>
      <c r="G168" s="5">
        <v>0.43</v>
      </c>
      <c r="H168" s="5">
        <v>783.1</v>
      </c>
      <c r="I168" s="5">
        <v>1</v>
      </c>
      <c r="J168" s="5">
        <v>0</v>
      </c>
      <c r="K168" s="5">
        <v>15.48</v>
      </c>
      <c r="L168" s="5">
        <v>32.14</v>
      </c>
      <c r="M168" s="5">
        <v>41.19</v>
      </c>
      <c r="N168" s="5">
        <v>7.93</v>
      </c>
      <c r="O168" s="5">
        <v>2.58</v>
      </c>
      <c r="P168" t="s">
        <v>59</v>
      </c>
      <c r="Q168" t="s">
        <v>58</v>
      </c>
    </row>
    <row r="169" spans="1:17" x14ac:dyDescent="0.3">
      <c r="A169">
        <f t="shared" si="2"/>
        <v>165</v>
      </c>
      <c r="B169">
        <v>50.13</v>
      </c>
      <c r="C169" s="5">
        <v>6.0846560846560847</v>
      </c>
      <c r="D169" s="5">
        <v>41.534391534391538</v>
      </c>
      <c r="E169" s="5">
        <v>24.4</v>
      </c>
      <c r="F169" s="5">
        <v>1.59</v>
      </c>
      <c r="G169" s="5">
        <v>0.46</v>
      </c>
      <c r="H169" s="5">
        <v>806.6</v>
      </c>
      <c r="I169" s="5">
        <v>1</v>
      </c>
      <c r="J169" s="5">
        <v>0</v>
      </c>
      <c r="K169" s="5">
        <v>14.66</v>
      </c>
      <c r="L169" s="5">
        <v>32.68</v>
      </c>
      <c r="M169" s="5">
        <v>41.72</v>
      </c>
      <c r="N169" s="5">
        <v>8.07</v>
      </c>
      <c r="O169" s="5">
        <v>2.74</v>
      </c>
      <c r="P169" t="s">
        <v>59</v>
      </c>
      <c r="Q169" t="s">
        <v>58</v>
      </c>
    </row>
    <row r="170" spans="1:17" x14ac:dyDescent="0.3">
      <c r="A170">
        <f t="shared" si="2"/>
        <v>166</v>
      </c>
      <c r="B170">
        <v>54.22</v>
      </c>
      <c r="C170" s="5">
        <v>6.3938618925831197</v>
      </c>
      <c r="D170" s="5">
        <v>36.189258312020456</v>
      </c>
      <c r="E170" s="5">
        <v>21.8</v>
      </c>
      <c r="F170" s="5">
        <v>2.0499999999999998</v>
      </c>
      <c r="G170" s="5">
        <v>0.3</v>
      </c>
      <c r="H170" s="5">
        <v>747.3</v>
      </c>
      <c r="I170" s="5">
        <v>1</v>
      </c>
      <c r="J170" s="5">
        <v>0</v>
      </c>
      <c r="K170" s="5">
        <v>13.43</v>
      </c>
      <c r="L170" s="5">
        <v>34.65</v>
      </c>
      <c r="M170" s="5">
        <v>38.49</v>
      </c>
      <c r="N170" s="5">
        <v>8.83</v>
      </c>
      <c r="O170" s="5">
        <v>2.14</v>
      </c>
      <c r="P170" t="s">
        <v>60</v>
      </c>
      <c r="Q170" t="s">
        <v>58</v>
      </c>
    </row>
    <row r="171" spans="1:17" x14ac:dyDescent="0.3">
      <c r="A171">
        <f t="shared" si="2"/>
        <v>167</v>
      </c>
      <c r="B171">
        <v>54.22</v>
      </c>
      <c r="C171" s="5">
        <v>6.3938618925831197</v>
      </c>
      <c r="D171" s="5">
        <v>36.189258312020456</v>
      </c>
      <c r="E171" s="5">
        <v>21.8</v>
      </c>
      <c r="F171" s="5">
        <v>2.0499999999999998</v>
      </c>
      <c r="G171" s="5">
        <v>0.34</v>
      </c>
      <c r="H171" s="5">
        <v>769</v>
      </c>
      <c r="I171" s="5">
        <v>1</v>
      </c>
      <c r="J171" s="5">
        <v>0</v>
      </c>
      <c r="K171" s="5">
        <v>14.96</v>
      </c>
      <c r="L171" s="5">
        <v>33.61</v>
      </c>
      <c r="M171" s="5">
        <v>38.18</v>
      </c>
      <c r="N171" s="5">
        <v>8.4700000000000006</v>
      </c>
      <c r="O171" s="5">
        <v>2.35</v>
      </c>
      <c r="P171" t="s">
        <v>60</v>
      </c>
      <c r="Q171" t="s">
        <v>58</v>
      </c>
    </row>
    <row r="172" spans="1:17" x14ac:dyDescent="0.3">
      <c r="A172">
        <f t="shared" si="2"/>
        <v>168</v>
      </c>
      <c r="B172">
        <v>54.22</v>
      </c>
      <c r="C172" s="5">
        <v>6.3938618925831197</v>
      </c>
      <c r="D172" s="5">
        <v>36.189258312020456</v>
      </c>
      <c r="E172" s="5">
        <v>21.8</v>
      </c>
      <c r="F172" s="5">
        <v>2.0499999999999998</v>
      </c>
      <c r="G172" s="5">
        <v>0.38</v>
      </c>
      <c r="H172" s="5">
        <v>779.5</v>
      </c>
      <c r="I172" s="5">
        <v>1</v>
      </c>
      <c r="J172" s="5">
        <v>0</v>
      </c>
      <c r="K172" s="5">
        <v>15.97</v>
      </c>
      <c r="L172" s="5">
        <v>33.21</v>
      </c>
      <c r="M172" s="5">
        <v>38.49</v>
      </c>
      <c r="N172" s="5">
        <v>8.61</v>
      </c>
      <c r="O172" s="5">
        <v>2.66</v>
      </c>
      <c r="P172" t="s">
        <v>60</v>
      </c>
      <c r="Q172" t="s">
        <v>58</v>
      </c>
    </row>
    <row r="173" spans="1:17" x14ac:dyDescent="0.3">
      <c r="A173">
        <f t="shared" si="2"/>
        <v>169</v>
      </c>
      <c r="B173">
        <v>54.22</v>
      </c>
      <c r="C173" s="5">
        <v>6.3938618925831197</v>
      </c>
      <c r="D173" s="5">
        <v>36.189258312020456</v>
      </c>
      <c r="E173" s="5">
        <v>21.8</v>
      </c>
      <c r="F173" s="5">
        <v>2.0499999999999998</v>
      </c>
      <c r="G173" s="5">
        <v>0.4</v>
      </c>
      <c r="H173" s="5">
        <v>791.8</v>
      </c>
      <c r="I173" s="5">
        <v>1</v>
      </c>
      <c r="J173" s="5">
        <v>0</v>
      </c>
      <c r="K173" s="5">
        <v>15.45</v>
      </c>
      <c r="L173" s="5">
        <v>33.08</v>
      </c>
      <c r="M173" s="5">
        <v>38.82</v>
      </c>
      <c r="N173" s="5">
        <v>8.64</v>
      </c>
      <c r="O173" s="5">
        <v>2.77</v>
      </c>
      <c r="P173" t="s">
        <v>60</v>
      </c>
      <c r="Q173" t="s">
        <v>58</v>
      </c>
    </row>
    <row r="174" spans="1:17" x14ac:dyDescent="0.3">
      <c r="A174">
        <f t="shared" si="2"/>
        <v>170</v>
      </c>
      <c r="B174">
        <v>54.22</v>
      </c>
      <c r="C174" s="5">
        <v>6.3938618925831197</v>
      </c>
      <c r="D174" s="5">
        <v>36.189258312020456</v>
      </c>
      <c r="E174" s="5">
        <v>21.8</v>
      </c>
      <c r="F174" s="5">
        <v>2.0499999999999998</v>
      </c>
      <c r="G174" s="5">
        <v>0.45</v>
      </c>
      <c r="H174" s="5">
        <v>829.1</v>
      </c>
      <c r="I174" s="5">
        <v>1</v>
      </c>
      <c r="J174" s="5">
        <v>0</v>
      </c>
      <c r="K174" s="5">
        <v>14.39</v>
      </c>
      <c r="L174" s="5">
        <v>33.28</v>
      </c>
      <c r="M174" s="5">
        <v>39.92</v>
      </c>
      <c r="N174" s="5">
        <v>8.69</v>
      </c>
      <c r="O174" s="5">
        <v>3</v>
      </c>
      <c r="P174" t="s">
        <v>60</v>
      </c>
      <c r="Q174" t="s">
        <v>58</v>
      </c>
    </row>
    <row r="175" spans="1:17" x14ac:dyDescent="0.3">
      <c r="A175">
        <f t="shared" si="2"/>
        <v>171</v>
      </c>
      <c r="B175" s="5">
        <v>47.295701427003294</v>
      </c>
      <c r="C175" s="5">
        <v>6.4693194291986824</v>
      </c>
      <c r="D175" s="5">
        <v>46.141176728869375</v>
      </c>
      <c r="E175" s="5">
        <v>8.9</v>
      </c>
      <c r="F175" s="5">
        <v>0.47200878155872666</v>
      </c>
      <c r="G175" s="5">
        <v>0.19</v>
      </c>
      <c r="H175" s="5">
        <v>800</v>
      </c>
      <c r="I175" s="5">
        <v>1</v>
      </c>
      <c r="J175" s="5">
        <v>0</v>
      </c>
      <c r="K175" s="5">
        <v>15.281587865096018</v>
      </c>
      <c r="L175" s="5">
        <v>25.964176214297243</v>
      </c>
      <c r="M175" s="5">
        <v>21.123124092302731</v>
      </c>
      <c r="N175" s="5">
        <v>8.875262223656609</v>
      </c>
      <c r="O175" s="5"/>
      <c r="P175" t="s">
        <v>61</v>
      </c>
      <c r="Q175" t="s">
        <v>62</v>
      </c>
    </row>
    <row r="176" spans="1:17" x14ac:dyDescent="0.3">
      <c r="A176">
        <f t="shared" si="2"/>
        <v>172</v>
      </c>
      <c r="B176" s="5">
        <v>45.651148800000001</v>
      </c>
      <c r="C176" s="5">
        <v>6.1181951999999997</v>
      </c>
      <c r="D176" s="5">
        <v>45.2295424</v>
      </c>
      <c r="E176" s="5">
        <v>6.25</v>
      </c>
      <c r="F176" s="5">
        <v>1.9520000000000002</v>
      </c>
      <c r="G176" s="5">
        <v>0.2</v>
      </c>
      <c r="H176" s="5">
        <v>800</v>
      </c>
      <c r="I176" s="5">
        <v>1</v>
      </c>
      <c r="J176" s="5">
        <v>0</v>
      </c>
      <c r="K176" s="5">
        <v>18.579862249918008</v>
      </c>
      <c r="L176" s="5">
        <v>27.730403410954416</v>
      </c>
      <c r="M176" s="5">
        <v>22.236798950475571</v>
      </c>
      <c r="N176" s="5">
        <v>8.642177763201051</v>
      </c>
      <c r="O176" s="5"/>
      <c r="P176" t="s">
        <v>63</v>
      </c>
      <c r="Q176" t="s">
        <v>62</v>
      </c>
    </row>
    <row r="177" spans="1:17" x14ac:dyDescent="0.3">
      <c r="A177">
        <f t="shared" si="2"/>
        <v>173</v>
      </c>
      <c r="B177" s="5">
        <v>39.409945875985414</v>
      </c>
      <c r="C177" s="5">
        <v>6.9830450641251911</v>
      </c>
      <c r="D177" s="5">
        <v>49.668137427932699</v>
      </c>
      <c r="E177" s="5">
        <v>15.01</v>
      </c>
      <c r="F177" s="5">
        <v>1.6472526179550535</v>
      </c>
      <c r="G177" s="5">
        <v>0.22</v>
      </c>
      <c r="H177" s="5">
        <v>800</v>
      </c>
      <c r="I177" s="5">
        <v>1</v>
      </c>
      <c r="J177" s="5">
        <v>0</v>
      </c>
      <c r="K177" s="5">
        <v>7.5856164383561646</v>
      </c>
      <c r="L177" s="5">
        <v>21.267123287671232</v>
      </c>
      <c r="M177" s="5">
        <v>18.68150684931507</v>
      </c>
      <c r="N177" s="5">
        <v>6.147260273972603</v>
      </c>
      <c r="O177" s="5"/>
      <c r="P177" t="s">
        <v>64</v>
      </c>
      <c r="Q177" t="s">
        <v>62</v>
      </c>
    </row>
    <row r="178" spans="1:17" x14ac:dyDescent="0.3">
      <c r="A178">
        <f t="shared" si="2"/>
        <v>174</v>
      </c>
      <c r="B178">
        <v>46</v>
      </c>
      <c r="C178" s="5">
        <v>6</v>
      </c>
      <c r="D178" s="5">
        <v>37.299999999999997</v>
      </c>
      <c r="E178" s="5">
        <v>8.1</v>
      </c>
      <c r="F178" s="5">
        <v>9.6300000000000008</v>
      </c>
      <c r="G178" s="5">
        <v>0.3</v>
      </c>
      <c r="H178" s="5">
        <v>750</v>
      </c>
      <c r="I178" s="5">
        <v>3</v>
      </c>
      <c r="J178" s="5">
        <v>0</v>
      </c>
      <c r="K178" s="5">
        <v>26.8</v>
      </c>
      <c r="L178" s="5">
        <v>29.4</v>
      </c>
      <c r="M178" s="5">
        <v>35.1</v>
      </c>
      <c r="N178" s="5">
        <v>8.6</v>
      </c>
      <c r="O178" s="5">
        <v>2.3795000000000002</v>
      </c>
      <c r="P178" t="s">
        <v>65</v>
      </c>
      <c r="Q178" t="s">
        <v>66</v>
      </c>
    </row>
    <row r="179" spans="1:17" x14ac:dyDescent="0.3">
      <c r="A179">
        <f t="shared" si="2"/>
        <v>175</v>
      </c>
      <c r="B179">
        <v>46</v>
      </c>
      <c r="C179" s="5">
        <v>6</v>
      </c>
      <c r="D179" s="5">
        <v>37.299999999999997</v>
      </c>
      <c r="E179" s="5">
        <v>8.1</v>
      </c>
      <c r="F179" s="5">
        <v>9.6300000000000008</v>
      </c>
      <c r="G179" s="5">
        <v>0.3</v>
      </c>
      <c r="H179" s="5">
        <v>800</v>
      </c>
      <c r="I179" s="5">
        <v>3</v>
      </c>
      <c r="J179" s="5">
        <v>0</v>
      </c>
      <c r="K179" s="5">
        <v>28.6</v>
      </c>
      <c r="L179" s="5">
        <v>33.1</v>
      </c>
      <c r="M179" s="5">
        <v>29.9</v>
      </c>
      <c r="N179" s="5">
        <v>8.1999999999999993</v>
      </c>
      <c r="O179" s="5">
        <v>2.4979</v>
      </c>
      <c r="P179" t="s">
        <v>65</v>
      </c>
      <c r="Q179" t="s">
        <v>66</v>
      </c>
    </row>
    <row r="180" spans="1:17" x14ac:dyDescent="0.3">
      <c r="A180">
        <f t="shared" si="2"/>
        <v>176</v>
      </c>
      <c r="B180">
        <v>46</v>
      </c>
      <c r="C180" s="5">
        <v>6</v>
      </c>
      <c r="D180" s="5">
        <v>37.299999999999997</v>
      </c>
      <c r="E180" s="5">
        <v>8.1</v>
      </c>
      <c r="F180" s="5">
        <v>9.6300000000000008</v>
      </c>
      <c r="G180" s="5">
        <v>0.3</v>
      </c>
      <c r="H180" s="5">
        <v>750</v>
      </c>
      <c r="I180" s="5">
        <v>1</v>
      </c>
      <c r="J180" s="5">
        <v>0</v>
      </c>
      <c r="K180" s="5">
        <v>25</v>
      </c>
      <c r="L180" s="5">
        <v>31.4</v>
      </c>
      <c r="M180" s="5">
        <v>34.200000000000003</v>
      </c>
      <c r="N180" s="5">
        <v>9.4</v>
      </c>
      <c r="O180" s="5">
        <v>2.2179000000000002</v>
      </c>
      <c r="P180" t="s">
        <v>65</v>
      </c>
      <c r="Q180" t="s">
        <v>66</v>
      </c>
    </row>
    <row r="181" spans="1:17" x14ac:dyDescent="0.3">
      <c r="A181">
        <f t="shared" si="2"/>
        <v>177</v>
      </c>
      <c r="B181">
        <v>46</v>
      </c>
      <c r="C181" s="5">
        <v>6</v>
      </c>
      <c r="D181" s="5">
        <v>37.299999999999997</v>
      </c>
      <c r="E181" s="5">
        <v>8.1</v>
      </c>
      <c r="F181" s="5">
        <v>9.6300000000000008</v>
      </c>
      <c r="G181" s="5">
        <v>0.3</v>
      </c>
      <c r="H181" s="5">
        <v>800</v>
      </c>
      <c r="I181" s="5">
        <v>1</v>
      </c>
      <c r="J181" s="5">
        <v>0</v>
      </c>
      <c r="K181" s="5">
        <v>27.1</v>
      </c>
      <c r="L181" s="5">
        <v>34</v>
      </c>
      <c r="M181" s="5">
        <v>29.8</v>
      </c>
      <c r="N181" s="5">
        <v>8.4</v>
      </c>
      <c r="O181" s="5">
        <v>2.2947000000000002</v>
      </c>
      <c r="P181" t="s">
        <v>65</v>
      </c>
      <c r="Q181" t="s">
        <v>66</v>
      </c>
    </row>
    <row r="182" spans="1:17" x14ac:dyDescent="0.3">
      <c r="A182">
        <f t="shared" si="2"/>
        <v>178</v>
      </c>
      <c r="B182">
        <v>48.6</v>
      </c>
      <c r="C182" s="5">
        <v>6.63</v>
      </c>
      <c r="D182" s="5">
        <v>39.299999999999997</v>
      </c>
      <c r="E182" s="5">
        <v>8.1999999999999993</v>
      </c>
      <c r="F182" s="5">
        <v>2.39</v>
      </c>
      <c r="G182" s="5">
        <v>0.3</v>
      </c>
      <c r="H182" s="5">
        <v>750</v>
      </c>
      <c r="I182" s="5">
        <v>3</v>
      </c>
      <c r="J182" s="5">
        <v>0</v>
      </c>
      <c r="K182" s="5">
        <v>23.6</v>
      </c>
      <c r="L182" s="5">
        <v>29.5</v>
      </c>
      <c r="M182" s="5">
        <v>34.799999999999997</v>
      </c>
      <c r="N182" s="5">
        <v>8.5</v>
      </c>
      <c r="O182" s="5">
        <v>2.5286</v>
      </c>
      <c r="P182" t="s">
        <v>67</v>
      </c>
      <c r="Q182" t="s">
        <v>66</v>
      </c>
    </row>
    <row r="183" spans="1:17" x14ac:dyDescent="0.3">
      <c r="A183">
        <f t="shared" si="2"/>
        <v>179</v>
      </c>
      <c r="B183">
        <v>48.6</v>
      </c>
      <c r="C183" s="5">
        <v>6.63</v>
      </c>
      <c r="D183" s="5">
        <v>39.299999999999997</v>
      </c>
      <c r="E183" s="5">
        <v>8.1999999999999993</v>
      </c>
      <c r="F183" s="5">
        <v>2.39</v>
      </c>
      <c r="G183" s="5">
        <v>0.3</v>
      </c>
      <c r="H183" s="5">
        <v>800</v>
      </c>
      <c r="I183" s="5">
        <v>3</v>
      </c>
      <c r="J183" s="5">
        <v>0</v>
      </c>
      <c r="K183" s="5">
        <v>25.5</v>
      </c>
      <c r="L183" s="5">
        <v>35.1</v>
      </c>
      <c r="M183" s="5">
        <v>30.3</v>
      </c>
      <c r="N183" s="5">
        <v>7.8</v>
      </c>
      <c r="O183" s="5">
        <v>2.6253000000000002</v>
      </c>
      <c r="P183" t="s">
        <v>67</v>
      </c>
      <c r="Q183" t="s">
        <v>66</v>
      </c>
    </row>
    <row r="184" spans="1:17" x14ac:dyDescent="0.3">
      <c r="A184">
        <f t="shared" si="2"/>
        <v>180</v>
      </c>
      <c r="B184">
        <v>48.6</v>
      </c>
      <c r="C184" s="5">
        <v>6.63</v>
      </c>
      <c r="D184" s="5">
        <v>39.299999999999997</v>
      </c>
      <c r="E184" s="5">
        <v>8.1999999999999993</v>
      </c>
      <c r="F184" s="5">
        <v>2.39</v>
      </c>
      <c r="G184" s="5">
        <v>0.3</v>
      </c>
      <c r="H184" s="5">
        <v>750</v>
      </c>
      <c r="I184" s="5">
        <v>1</v>
      </c>
      <c r="J184" s="5">
        <v>0</v>
      </c>
      <c r="K184" s="5">
        <v>21.8</v>
      </c>
      <c r="L184" s="5">
        <v>31.7</v>
      </c>
      <c r="M184" s="5">
        <v>36</v>
      </c>
      <c r="N184" s="5">
        <v>7.8</v>
      </c>
      <c r="O184" s="5">
        <v>2.2589999999999999</v>
      </c>
      <c r="P184" t="s">
        <v>67</v>
      </c>
      <c r="Q184" t="s">
        <v>66</v>
      </c>
    </row>
    <row r="185" spans="1:17" x14ac:dyDescent="0.3">
      <c r="A185">
        <f t="shared" si="2"/>
        <v>181</v>
      </c>
      <c r="B185">
        <v>48.6</v>
      </c>
      <c r="C185" s="5">
        <v>6.63</v>
      </c>
      <c r="D185" s="5">
        <v>39.299999999999997</v>
      </c>
      <c r="E185" s="5">
        <v>8.1999999999999993</v>
      </c>
      <c r="F185" s="5">
        <v>2.39</v>
      </c>
      <c r="G185" s="5">
        <v>0.3</v>
      </c>
      <c r="H185" s="5">
        <v>800</v>
      </c>
      <c r="I185" s="5">
        <v>1</v>
      </c>
      <c r="J185" s="5">
        <v>0</v>
      </c>
      <c r="K185" s="5">
        <v>23.4</v>
      </c>
      <c r="L185" s="5">
        <v>33.700000000000003</v>
      </c>
      <c r="M185" s="5">
        <v>35.200000000000003</v>
      </c>
      <c r="N185" s="5">
        <v>7.7</v>
      </c>
      <c r="O185" s="5">
        <v>2.2793999999999999</v>
      </c>
      <c r="P185" t="s">
        <v>67</v>
      </c>
      <c r="Q185" t="s">
        <v>66</v>
      </c>
    </row>
    <row r="186" spans="1:17" x14ac:dyDescent="0.3">
      <c r="A186">
        <f t="shared" si="2"/>
        <v>182</v>
      </c>
      <c r="B186">
        <v>44.18</v>
      </c>
      <c r="C186" s="5">
        <v>5.34</v>
      </c>
      <c r="D186" s="5">
        <v>45.35</v>
      </c>
      <c r="E186" s="5">
        <v>5.93</v>
      </c>
      <c r="F186" s="5">
        <v>4.58</v>
      </c>
      <c r="G186" s="5">
        <v>0.15</v>
      </c>
      <c r="H186" s="5">
        <v>650</v>
      </c>
      <c r="I186" s="5">
        <v>1</v>
      </c>
      <c r="J186" s="5">
        <v>0</v>
      </c>
      <c r="K186" s="5">
        <v>14.806234203875317</v>
      </c>
      <c r="L186" s="5">
        <v>42.965459140690818</v>
      </c>
      <c r="M186" s="5">
        <v>31.676495366470096</v>
      </c>
      <c r="N186" s="5">
        <v>10.551811288963775</v>
      </c>
      <c r="O186" s="5"/>
      <c r="P186" t="s">
        <v>68</v>
      </c>
      <c r="Q186" t="s">
        <v>69</v>
      </c>
    </row>
    <row r="187" spans="1:17" x14ac:dyDescent="0.3">
      <c r="A187">
        <f t="shared" si="2"/>
        <v>183</v>
      </c>
      <c r="B187">
        <v>44.18</v>
      </c>
      <c r="C187" s="5">
        <v>5.34</v>
      </c>
      <c r="D187" s="5">
        <v>45.35</v>
      </c>
      <c r="E187" s="5">
        <v>5.93</v>
      </c>
      <c r="F187" s="5">
        <v>4.58</v>
      </c>
      <c r="G187" s="5">
        <v>0.15</v>
      </c>
      <c r="H187" s="5">
        <v>700</v>
      </c>
      <c r="I187" s="5">
        <v>1</v>
      </c>
      <c r="J187" s="5">
        <v>0</v>
      </c>
      <c r="K187" s="5">
        <v>14.83743842364532</v>
      </c>
      <c r="L187" s="5">
        <v>43.448275862068968</v>
      </c>
      <c r="M187" s="5">
        <v>29.142857142857142</v>
      </c>
      <c r="N187" s="5">
        <v>12.571428571428571</v>
      </c>
      <c r="O187" s="5"/>
      <c r="P187" t="s">
        <v>68</v>
      </c>
      <c r="Q187" t="s">
        <v>69</v>
      </c>
    </row>
    <row r="188" spans="1:17" x14ac:dyDescent="0.3">
      <c r="A188">
        <f t="shared" si="2"/>
        <v>184</v>
      </c>
      <c r="B188">
        <v>44.18</v>
      </c>
      <c r="C188" s="5">
        <v>5.34</v>
      </c>
      <c r="D188" s="5">
        <v>45.35</v>
      </c>
      <c r="E188" s="5">
        <v>5.93</v>
      </c>
      <c r="F188" s="5">
        <v>4.58</v>
      </c>
      <c r="G188" s="5">
        <v>0.15</v>
      </c>
      <c r="H188" s="5">
        <v>750</v>
      </c>
      <c r="I188" s="5">
        <v>1</v>
      </c>
      <c r="J188" s="5">
        <v>0</v>
      </c>
      <c r="K188" s="5">
        <v>16.087369420702757</v>
      </c>
      <c r="L188" s="5">
        <v>43.817663817663821</v>
      </c>
      <c r="M188" s="5">
        <v>26.647673314339983</v>
      </c>
      <c r="N188" s="5">
        <v>13.447293447293447</v>
      </c>
      <c r="O188" s="5"/>
      <c r="P188" t="s">
        <v>68</v>
      </c>
      <c r="Q188" t="s">
        <v>69</v>
      </c>
    </row>
    <row r="189" spans="1:17" x14ac:dyDescent="0.3">
      <c r="A189">
        <f t="shared" si="2"/>
        <v>185</v>
      </c>
      <c r="B189">
        <v>44.18</v>
      </c>
      <c r="C189" s="5">
        <v>5.34</v>
      </c>
      <c r="D189" s="5">
        <v>45.35</v>
      </c>
      <c r="E189" s="5">
        <v>5.93</v>
      </c>
      <c r="F189" s="5">
        <v>4.58</v>
      </c>
      <c r="G189" s="5">
        <v>0.15</v>
      </c>
      <c r="H189" s="5">
        <v>800</v>
      </c>
      <c r="I189" s="5">
        <v>1</v>
      </c>
      <c r="J189" s="5">
        <v>0</v>
      </c>
      <c r="K189" s="5">
        <v>16.501709555515564</v>
      </c>
      <c r="L189" s="5">
        <v>46.463919380960952</v>
      </c>
      <c r="M189" s="5">
        <v>24.79755263631456</v>
      </c>
      <c r="N189" s="5">
        <v>12.236818427208926</v>
      </c>
      <c r="O189" s="5"/>
      <c r="P189" t="s">
        <v>68</v>
      </c>
      <c r="Q189" t="s">
        <v>69</v>
      </c>
    </row>
    <row r="190" spans="1:17" x14ac:dyDescent="0.3">
      <c r="A190">
        <f t="shared" si="2"/>
        <v>186</v>
      </c>
      <c r="B190">
        <v>44.18</v>
      </c>
      <c r="C190" s="5">
        <v>5.34</v>
      </c>
      <c r="D190" s="5">
        <v>45.35</v>
      </c>
      <c r="E190" s="5">
        <v>5.93</v>
      </c>
      <c r="F190" s="5">
        <v>4.58</v>
      </c>
      <c r="G190" s="5">
        <v>0.15</v>
      </c>
      <c r="H190" s="5">
        <v>850</v>
      </c>
      <c r="I190" s="5">
        <v>1</v>
      </c>
      <c r="J190" s="5">
        <v>0</v>
      </c>
      <c r="K190" s="5">
        <v>18.661016949152543</v>
      </c>
      <c r="L190" s="5">
        <v>47.288135593220339</v>
      </c>
      <c r="M190" s="5">
        <v>22.203389830508474</v>
      </c>
      <c r="N190" s="5">
        <v>11.847457627118644</v>
      </c>
      <c r="O190" s="5"/>
      <c r="P190" t="s">
        <v>68</v>
      </c>
      <c r="Q190" t="s">
        <v>69</v>
      </c>
    </row>
    <row r="191" spans="1:17" x14ac:dyDescent="0.3">
      <c r="A191">
        <f t="shared" si="2"/>
        <v>187</v>
      </c>
      <c r="B191">
        <v>44.18</v>
      </c>
      <c r="C191" s="5">
        <v>5.34</v>
      </c>
      <c r="D191" s="5">
        <v>45.35</v>
      </c>
      <c r="E191" s="5">
        <v>5.93</v>
      </c>
      <c r="F191" s="5">
        <v>4.58</v>
      </c>
      <c r="G191" s="5">
        <v>0.2</v>
      </c>
      <c r="H191" s="5">
        <v>650</v>
      </c>
      <c r="I191" s="5">
        <v>1</v>
      </c>
      <c r="J191" s="5">
        <v>0</v>
      </c>
      <c r="K191" s="5">
        <v>19.113341698034294</v>
      </c>
      <c r="L191" s="5">
        <v>30.719364282726893</v>
      </c>
      <c r="M191" s="5">
        <v>39.732329569217903</v>
      </c>
      <c r="N191" s="5">
        <v>10.434964450020912</v>
      </c>
      <c r="O191" s="5"/>
      <c r="P191" t="s">
        <v>68</v>
      </c>
      <c r="Q191" t="s">
        <v>69</v>
      </c>
    </row>
    <row r="192" spans="1:17" x14ac:dyDescent="0.3">
      <c r="A192">
        <f t="shared" si="2"/>
        <v>188</v>
      </c>
      <c r="B192">
        <v>44.18</v>
      </c>
      <c r="C192" s="5">
        <v>5.34</v>
      </c>
      <c r="D192" s="5">
        <v>45.35</v>
      </c>
      <c r="E192" s="5">
        <v>5.93</v>
      </c>
      <c r="F192" s="5">
        <v>4.58</v>
      </c>
      <c r="G192" s="5">
        <v>0.2</v>
      </c>
      <c r="H192" s="5">
        <v>700</v>
      </c>
      <c r="I192" s="5">
        <v>1</v>
      </c>
      <c r="J192" s="5">
        <v>0</v>
      </c>
      <c r="K192" s="5">
        <v>19.006744328632742</v>
      </c>
      <c r="L192" s="5">
        <v>30.533415082771306</v>
      </c>
      <c r="M192" s="5">
        <v>38.217862252197015</v>
      </c>
      <c r="N192" s="5">
        <v>12.241978336398937</v>
      </c>
      <c r="O192" s="5"/>
      <c r="P192" t="s">
        <v>68</v>
      </c>
      <c r="Q192" t="s">
        <v>69</v>
      </c>
    </row>
    <row r="193" spans="1:17" x14ac:dyDescent="0.3">
      <c r="A193">
        <f t="shared" si="2"/>
        <v>189</v>
      </c>
      <c r="B193">
        <v>44.18</v>
      </c>
      <c r="C193" s="5">
        <v>5.34</v>
      </c>
      <c r="D193" s="5">
        <v>45.35</v>
      </c>
      <c r="E193" s="5">
        <v>5.93</v>
      </c>
      <c r="F193" s="5">
        <v>4.58</v>
      </c>
      <c r="G193" s="5">
        <v>0.2</v>
      </c>
      <c r="H193" s="5">
        <v>750</v>
      </c>
      <c r="I193" s="5">
        <v>1</v>
      </c>
      <c r="J193" s="5">
        <v>0</v>
      </c>
      <c r="K193" s="5">
        <v>20.117862223125382</v>
      </c>
      <c r="L193" s="5">
        <v>32.452753505385083</v>
      </c>
      <c r="M193" s="5">
        <v>34.545824019508231</v>
      </c>
      <c r="N193" s="5">
        <v>12.883560251981304</v>
      </c>
      <c r="O193" s="5"/>
      <c r="P193" t="s">
        <v>68</v>
      </c>
      <c r="Q193" t="s">
        <v>69</v>
      </c>
    </row>
    <row r="194" spans="1:17" x14ac:dyDescent="0.3">
      <c r="A194">
        <f t="shared" si="2"/>
        <v>190</v>
      </c>
      <c r="B194">
        <v>44.18</v>
      </c>
      <c r="C194" s="5">
        <v>5.34</v>
      </c>
      <c r="D194" s="5">
        <v>45.35</v>
      </c>
      <c r="E194" s="5">
        <v>5.93</v>
      </c>
      <c r="F194" s="5">
        <v>4.58</v>
      </c>
      <c r="G194" s="5">
        <v>0.2</v>
      </c>
      <c r="H194" s="5">
        <v>800</v>
      </c>
      <c r="I194" s="5">
        <v>1</v>
      </c>
      <c r="J194" s="5">
        <v>0</v>
      </c>
      <c r="K194" s="5">
        <v>20.821917808219176</v>
      </c>
      <c r="L194" s="5">
        <v>34.853228962818001</v>
      </c>
      <c r="M194" s="5">
        <v>31.487279843444227</v>
      </c>
      <c r="N194" s="5">
        <v>12.83757338551859</v>
      </c>
      <c r="O194" s="5"/>
      <c r="P194" t="s">
        <v>68</v>
      </c>
      <c r="Q194" t="s">
        <v>69</v>
      </c>
    </row>
    <row r="195" spans="1:17" x14ac:dyDescent="0.3">
      <c r="A195">
        <f t="shared" si="2"/>
        <v>191</v>
      </c>
      <c r="B195">
        <v>44.18</v>
      </c>
      <c r="C195" s="5">
        <v>5.34</v>
      </c>
      <c r="D195" s="5">
        <v>45.35</v>
      </c>
      <c r="E195" s="5">
        <v>5.93</v>
      </c>
      <c r="F195" s="5">
        <v>4.58</v>
      </c>
      <c r="G195" s="5">
        <v>0.2</v>
      </c>
      <c r="H195" s="5">
        <v>850</v>
      </c>
      <c r="I195" s="5">
        <v>1</v>
      </c>
      <c r="J195" s="5">
        <v>0</v>
      </c>
      <c r="K195" s="5">
        <v>21.387175172929517</v>
      </c>
      <c r="L195" s="5">
        <v>37.147130304729856</v>
      </c>
      <c r="M195" s="5">
        <v>28.192185455225275</v>
      </c>
      <c r="N195" s="5">
        <v>13.273509067115349</v>
      </c>
      <c r="O195" s="5"/>
      <c r="P195" t="s">
        <v>68</v>
      </c>
      <c r="Q195" t="s">
        <v>69</v>
      </c>
    </row>
    <row r="196" spans="1:17" x14ac:dyDescent="0.3">
      <c r="A196">
        <f t="shared" si="2"/>
        <v>192</v>
      </c>
      <c r="B196">
        <v>44.18</v>
      </c>
      <c r="C196" s="5">
        <v>5.34</v>
      </c>
      <c r="D196" s="5">
        <v>45.35</v>
      </c>
      <c r="E196" s="5">
        <v>5.93</v>
      </c>
      <c r="F196" s="5">
        <v>4.58</v>
      </c>
      <c r="G196" s="5">
        <v>0.25</v>
      </c>
      <c r="H196" s="5">
        <v>650</v>
      </c>
      <c r="I196" s="5">
        <v>1</v>
      </c>
      <c r="J196" s="5">
        <v>0</v>
      </c>
      <c r="K196" s="5">
        <v>15.707515233581583</v>
      </c>
      <c r="L196" s="5">
        <v>30.737982396750169</v>
      </c>
      <c r="M196" s="5">
        <v>42.428345745881288</v>
      </c>
      <c r="N196" s="5">
        <v>11.126156623786954</v>
      </c>
      <c r="O196" s="5"/>
      <c r="P196" t="s">
        <v>68</v>
      </c>
      <c r="Q196" t="s">
        <v>69</v>
      </c>
    </row>
    <row r="197" spans="1:17" x14ac:dyDescent="0.3">
      <c r="A197">
        <f t="shared" si="2"/>
        <v>193</v>
      </c>
      <c r="B197">
        <v>44.18</v>
      </c>
      <c r="C197" s="5">
        <v>5.34</v>
      </c>
      <c r="D197" s="5">
        <v>45.35</v>
      </c>
      <c r="E197" s="5">
        <v>5.93</v>
      </c>
      <c r="F197" s="5">
        <v>4.58</v>
      </c>
      <c r="G197" s="5">
        <v>0.25</v>
      </c>
      <c r="H197" s="5">
        <v>700</v>
      </c>
      <c r="I197" s="5">
        <v>1</v>
      </c>
      <c r="J197" s="5">
        <v>0</v>
      </c>
      <c r="K197" s="5">
        <v>17.299301919720765</v>
      </c>
      <c r="L197" s="5">
        <v>29.755671902268759</v>
      </c>
      <c r="M197" s="5">
        <v>40.27050610820244</v>
      </c>
      <c r="N197" s="5">
        <v>12.674520069808027</v>
      </c>
      <c r="O197" s="5"/>
      <c r="P197" t="s">
        <v>68</v>
      </c>
      <c r="Q197" t="s">
        <v>69</v>
      </c>
    </row>
    <row r="198" spans="1:17" x14ac:dyDescent="0.3">
      <c r="A198">
        <f t="shared" si="2"/>
        <v>194</v>
      </c>
      <c r="B198">
        <v>44.18</v>
      </c>
      <c r="C198" s="5">
        <v>5.34</v>
      </c>
      <c r="D198" s="5">
        <v>45.35</v>
      </c>
      <c r="E198" s="5">
        <v>5.93</v>
      </c>
      <c r="F198" s="5">
        <v>4.58</v>
      </c>
      <c r="G198" s="5">
        <v>0.25</v>
      </c>
      <c r="H198" s="5">
        <v>750</v>
      </c>
      <c r="I198" s="5">
        <v>1</v>
      </c>
      <c r="J198" s="5">
        <v>0</v>
      </c>
      <c r="K198" s="5">
        <v>17.956920452121988</v>
      </c>
      <c r="L198" s="5">
        <v>33.52527191298784</v>
      </c>
      <c r="M198" s="5">
        <v>35.956493921944976</v>
      </c>
      <c r="N198" s="5">
        <v>12.561313712945191</v>
      </c>
      <c r="O198" s="5"/>
      <c r="P198" t="s">
        <v>68</v>
      </c>
      <c r="Q198" t="s">
        <v>69</v>
      </c>
    </row>
    <row r="199" spans="1:17" x14ac:dyDescent="0.3">
      <c r="A199">
        <f t="shared" ref="A199:A262" si="3">A198+1</f>
        <v>195</v>
      </c>
      <c r="B199">
        <v>44.18</v>
      </c>
      <c r="C199" s="5">
        <v>5.34</v>
      </c>
      <c r="D199" s="5">
        <v>45.35</v>
      </c>
      <c r="E199" s="5">
        <v>5.93</v>
      </c>
      <c r="F199" s="5">
        <v>4.58</v>
      </c>
      <c r="G199" s="5">
        <v>0.25</v>
      </c>
      <c r="H199" s="5">
        <v>800</v>
      </c>
      <c r="I199" s="5">
        <v>1</v>
      </c>
      <c r="J199" s="5">
        <v>0</v>
      </c>
      <c r="K199" s="5">
        <v>20.697482459760625</v>
      </c>
      <c r="L199" s="5">
        <v>35.080478745356992</v>
      </c>
      <c r="M199" s="5">
        <v>31.159719356170037</v>
      </c>
      <c r="N199" s="5">
        <v>13.06231943871234</v>
      </c>
      <c r="O199" s="5"/>
      <c r="P199" t="s">
        <v>68</v>
      </c>
      <c r="Q199" t="s">
        <v>69</v>
      </c>
    </row>
    <row r="200" spans="1:17" x14ac:dyDescent="0.3">
      <c r="A200">
        <f t="shared" si="3"/>
        <v>196</v>
      </c>
      <c r="B200">
        <v>44.18</v>
      </c>
      <c r="C200" s="5">
        <v>5.34</v>
      </c>
      <c r="D200" s="5">
        <v>45.35</v>
      </c>
      <c r="E200" s="5">
        <v>5.93</v>
      </c>
      <c r="F200" s="5">
        <v>4.58</v>
      </c>
      <c r="G200" s="5">
        <v>0.25</v>
      </c>
      <c r="H200" s="5">
        <v>850</v>
      </c>
      <c r="I200" s="5">
        <v>1</v>
      </c>
      <c r="J200" s="5">
        <v>0</v>
      </c>
      <c r="K200" s="5">
        <v>22.191780821917806</v>
      </c>
      <c r="L200" s="5">
        <v>37.00587084148728</v>
      </c>
      <c r="M200" s="5">
        <v>27.240704500978474</v>
      </c>
      <c r="N200" s="5">
        <v>13.561643835616438</v>
      </c>
      <c r="O200" s="5"/>
      <c r="P200" t="s">
        <v>68</v>
      </c>
      <c r="Q200" t="s">
        <v>69</v>
      </c>
    </row>
    <row r="201" spans="1:17" x14ac:dyDescent="0.3">
      <c r="A201">
        <f t="shared" si="3"/>
        <v>197</v>
      </c>
      <c r="B201">
        <v>44.18</v>
      </c>
      <c r="C201" s="5">
        <v>5.34</v>
      </c>
      <c r="D201" s="5">
        <v>45.35</v>
      </c>
      <c r="E201" s="5">
        <v>5.93</v>
      </c>
      <c r="F201" s="5">
        <v>4.58</v>
      </c>
      <c r="G201" s="5">
        <v>0.15</v>
      </c>
      <c r="H201" s="5">
        <v>700</v>
      </c>
      <c r="I201" s="5">
        <v>1</v>
      </c>
      <c r="J201" s="5">
        <v>0</v>
      </c>
      <c r="K201" s="5">
        <v>20.853730174270609</v>
      </c>
      <c r="L201" s="5">
        <v>37.066771098492268</v>
      </c>
      <c r="M201" s="5">
        <v>30.135108674368514</v>
      </c>
      <c r="N201" s="5">
        <v>11.944390052868611</v>
      </c>
      <c r="O201" s="5"/>
      <c r="P201" t="s">
        <v>68</v>
      </c>
      <c r="Q201" t="s">
        <v>69</v>
      </c>
    </row>
    <row r="202" spans="1:17" x14ac:dyDescent="0.3">
      <c r="A202">
        <f t="shared" si="3"/>
        <v>198</v>
      </c>
      <c r="B202">
        <v>44.18</v>
      </c>
      <c r="C202" s="5">
        <v>5.34</v>
      </c>
      <c r="D202" s="5">
        <v>45.35</v>
      </c>
      <c r="E202" s="5">
        <v>5.93</v>
      </c>
      <c r="F202" s="5">
        <v>4.58</v>
      </c>
      <c r="G202" s="5">
        <v>0.18</v>
      </c>
      <c r="H202" s="5">
        <v>700</v>
      </c>
      <c r="I202" s="5">
        <v>1</v>
      </c>
      <c r="J202" s="5">
        <v>0</v>
      </c>
      <c r="K202" s="5">
        <v>21.172774869109947</v>
      </c>
      <c r="L202" s="5">
        <v>33.089005235602095</v>
      </c>
      <c r="M202" s="5">
        <v>35.141361256544499</v>
      </c>
      <c r="N202" s="5">
        <v>10.596858638743454</v>
      </c>
      <c r="O202" s="5"/>
      <c r="P202" t="s">
        <v>68</v>
      </c>
      <c r="Q202" t="s">
        <v>69</v>
      </c>
    </row>
    <row r="203" spans="1:17" x14ac:dyDescent="0.3">
      <c r="A203">
        <f t="shared" si="3"/>
        <v>199</v>
      </c>
      <c r="B203">
        <v>44.18</v>
      </c>
      <c r="C203" s="5">
        <v>5.34</v>
      </c>
      <c r="D203" s="5">
        <v>45.35</v>
      </c>
      <c r="E203" s="5">
        <v>5.93</v>
      </c>
      <c r="F203" s="5">
        <v>4.58</v>
      </c>
      <c r="G203" s="5">
        <v>0.21</v>
      </c>
      <c r="H203" s="5">
        <v>700</v>
      </c>
      <c r="I203" s="5">
        <v>1</v>
      </c>
      <c r="J203" s="5">
        <v>0</v>
      </c>
      <c r="K203" s="5">
        <v>20.166047629451604</v>
      </c>
      <c r="L203" s="5">
        <v>32.597771466025776</v>
      </c>
      <c r="M203" s="5">
        <v>40.943849683198593</v>
      </c>
      <c r="N203" s="5">
        <v>6.2923312213240106</v>
      </c>
      <c r="O203" s="5"/>
      <c r="P203" t="s">
        <v>68</v>
      </c>
      <c r="Q203" t="s">
        <v>69</v>
      </c>
    </row>
    <row r="204" spans="1:17" x14ac:dyDescent="0.3">
      <c r="A204">
        <f t="shared" si="3"/>
        <v>200</v>
      </c>
      <c r="B204">
        <v>44.18</v>
      </c>
      <c r="C204" s="5">
        <v>5.34</v>
      </c>
      <c r="D204" s="5">
        <v>45.35</v>
      </c>
      <c r="E204" s="5">
        <v>5.93</v>
      </c>
      <c r="F204" s="5">
        <v>4.58</v>
      </c>
      <c r="G204" s="5">
        <v>0.24</v>
      </c>
      <c r="H204" s="5">
        <v>700</v>
      </c>
      <c r="I204" s="5">
        <v>1</v>
      </c>
      <c r="J204" s="5">
        <v>0</v>
      </c>
      <c r="K204" s="5">
        <v>21.150320806599449</v>
      </c>
      <c r="L204" s="5">
        <v>30.774518790100824</v>
      </c>
      <c r="M204" s="5">
        <v>45.760769935838681</v>
      </c>
      <c r="N204" s="5">
        <v>2.3143904674610449</v>
      </c>
      <c r="O204" s="5"/>
      <c r="P204" t="s">
        <v>68</v>
      </c>
      <c r="Q204" t="s">
        <v>69</v>
      </c>
    </row>
    <row r="205" spans="1:17" x14ac:dyDescent="0.3">
      <c r="A205">
        <f t="shared" si="3"/>
        <v>201</v>
      </c>
      <c r="B205">
        <v>44.18</v>
      </c>
      <c r="C205" s="5">
        <v>5.34</v>
      </c>
      <c r="D205" s="5">
        <v>45.35</v>
      </c>
      <c r="E205" s="5">
        <v>5.93</v>
      </c>
      <c r="F205" s="5">
        <v>4.58</v>
      </c>
      <c r="G205" s="5">
        <v>0.15</v>
      </c>
      <c r="H205" s="5">
        <v>750</v>
      </c>
      <c r="I205" s="5">
        <v>1</v>
      </c>
      <c r="J205" s="5">
        <v>0</v>
      </c>
      <c r="K205" s="5">
        <v>21.367365542388331</v>
      </c>
      <c r="L205" s="5">
        <v>40.145852324521421</v>
      </c>
      <c r="M205" s="5">
        <v>27.657247037374656</v>
      </c>
      <c r="N205" s="5">
        <v>10.829535095715588</v>
      </c>
      <c r="O205" s="5"/>
      <c r="P205" t="s">
        <v>68</v>
      </c>
      <c r="Q205" t="s">
        <v>69</v>
      </c>
    </row>
    <row r="206" spans="1:17" x14ac:dyDescent="0.3">
      <c r="A206">
        <f t="shared" si="3"/>
        <v>202</v>
      </c>
      <c r="B206">
        <v>44.18</v>
      </c>
      <c r="C206" s="5">
        <v>5.34</v>
      </c>
      <c r="D206" s="5">
        <v>45.35</v>
      </c>
      <c r="E206" s="5">
        <v>5.93</v>
      </c>
      <c r="F206" s="5">
        <v>4.58</v>
      </c>
      <c r="G206" s="5">
        <v>0.18</v>
      </c>
      <c r="H206" s="5">
        <v>750</v>
      </c>
      <c r="I206" s="5">
        <v>1</v>
      </c>
      <c r="J206" s="5">
        <v>0</v>
      </c>
      <c r="K206" s="5">
        <v>20.364802565644418</v>
      </c>
      <c r="L206" s="5">
        <v>35.939065945079172</v>
      </c>
      <c r="M206" s="5">
        <v>33.092804169172183</v>
      </c>
      <c r="N206" s="5">
        <v>10.60332732010423</v>
      </c>
      <c r="O206" s="5"/>
      <c r="P206" t="s">
        <v>68</v>
      </c>
      <c r="Q206" t="s">
        <v>69</v>
      </c>
    </row>
    <row r="207" spans="1:17" x14ac:dyDescent="0.3">
      <c r="A207">
        <f t="shared" si="3"/>
        <v>203</v>
      </c>
      <c r="B207">
        <v>44.18</v>
      </c>
      <c r="C207" s="5">
        <v>5.34</v>
      </c>
      <c r="D207" s="5">
        <v>45.35</v>
      </c>
      <c r="E207" s="5">
        <v>5.93</v>
      </c>
      <c r="F207" s="5">
        <v>4.58</v>
      </c>
      <c r="G207" s="5">
        <v>0.21</v>
      </c>
      <c r="H207" s="5">
        <v>750</v>
      </c>
      <c r="I207" s="5">
        <v>1</v>
      </c>
      <c r="J207" s="5">
        <v>0</v>
      </c>
      <c r="K207" s="5">
        <v>20.287986245433054</v>
      </c>
      <c r="L207" s="5">
        <v>33.634214485278314</v>
      </c>
      <c r="M207" s="5">
        <v>40.03868471953578</v>
      </c>
      <c r="N207" s="5">
        <v>6.0391145497528473</v>
      </c>
      <c r="O207" s="5"/>
      <c r="P207" t="s">
        <v>68</v>
      </c>
      <c r="Q207" t="s">
        <v>69</v>
      </c>
    </row>
    <row r="208" spans="1:17" x14ac:dyDescent="0.3">
      <c r="A208">
        <f t="shared" si="3"/>
        <v>204</v>
      </c>
      <c r="B208">
        <v>44.18</v>
      </c>
      <c r="C208" s="5">
        <v>5.34</v>
      </c>
      <c r="D208" s="5">
        <v>45.35</v>
      </c>
      <c r="E208" s="5">
        <v>5.93</v>
      </c>
      <c r="F208" s="5">
        <v>4.58</v>
      </c>
      <c r="G208" s="5">
        <v>0.24</v>
      </c>
      <c r="H208" s="5">
        <v>750</v>
      </c>
      <c r="I208" s="5">
        <v>1</v>
      </c>
      <c r="J208" s="5">
        <v>0</v>
      </c>
      <c r="K208" s="5">
        <v>20.616700427638982</v>
      </c>
      <c r="L208" s="5">
        <v>30.722484807562459</v>
      </c>
      <c r="M208" s="5">
        <v>44.474454197614229</v>
      </c>
      <c r="N208" s="5">
        <v>4.1863605671843347</v>
      </c>
      <c r="O208" s="5"/>
      <c r="P208" t="s">
        <v>68</v>
      </c>
      <c r="Q208" t="s">
        <v>69</v>
      </c>
    </row>
    <row r="209" spans="1:17" x14ac:dyDescent="0.3">
      <c r="A209">
        <f t="shared" si="3"/>
        <v>205</v>
      </c>
      <c r="B209">
        <v>44.18</v>
      </c>
      <c r="C209" s="5">
        <v>5.34</v>
      </c>
      <c r="D209" s="5">
        <v>45.35</v>
      </c>
      <c r="E209" s="5">
        <v>5.93</v>
      </c>
      <c r="F209" s="5">
        <v>4.58</v>
      </c>
      <c r="G209" s="5">
        <v>0.15</v>
      </c>
      <c r="H209" s="5">
        <v>800</v>
      </c>
      <c r="I209" s="5">
        <v>1</v>
      </c>
      <c r="J209" s="5">
        <v>0</v>
      </c>
      <c r="K209" s="5">
        <v>20.284958871915393</v>
      </c>
      <c r="L209" s="5">
        <v>40.966509988249122</v>
      </c>
      <c r="M209" s="5">
        <v>28.275558166862517</v>
      </c>
      <c r="N209" s="5">
        <v>10.472972972972974</v>
      </c>
      <c r="O209" s="5"/>
      <c r="P209" t="s">
        <v>68</v>
      </c>
      <c r="Q209" t="s">
        <v>69</v>
      </c>
    </row>
    <row r="210" spans="1:17" x14ac:dyDescent="0.3">
      <c r="A210">
        <f t="shared" si="3"/>
        <v>206</v>
      </c>
      <c r="B210">
        <v>44.18</v>
      </c>
      <c r="C210" s="5">
        <v>5.34</v>
      </c>
      <c r="D210" s="5">
        <v>45.35</v>
      </c>
      <c r="E210" s="5">
        <v>5.93</v>
      </c>
      <c r="F210" s="5">
        <v>4.58</v>
      </c>
      <c r="G210" s="5">
        <v>0.18</v>
      </c>
      <c r="H210" s="5">
        <v>800</v>
      </c>
      <c r="I210" s="5">
        <v>1</v>
      </c>
      <c r="J210" s="5">
        <v>0</v>
      </c>
      <c r="K210" s="5">
        <v>21.487455197132618</v>
      </c>
      <c r="L210" s="5">
        <v>35.394265232974909</v>
      </c>
      <c r="M210" s="5">
        <v>32.150537634408607</v>
      </c>
      <c r="N210" s="5">
        <v>10.967741935483872</v>
      </c>
      <c r="O210" s="5"/>
      <c r="P210" t="s">
        <v>68</v>
      </c>
      <c r="Q210" t="s">
        <v>69</v>
      </c>
    </row>
    <row r="211" spans="1:17" x14ac:dyDescent="0.3">
      <c r="A211">
        <f t="shared" si="3"/>
        <v>207</v>
      </c>
      <c r="B211">
        <v>44.18</v>
      </c>
      <c r="C211" s="5">
        <v>5.34</v>
      </c>
      <c r="D211" s="5">
        <v>45.35</v>
      </c>
      <c r="E211" s="5">
        <v>5.93</v>
      </c>
      <c r="F211" s="5">
        <v>4.58</v>
      </c>
      <c r="G211" s="5">
        <v>0.21</v>
      </c>
      <c r="H211" s="5">
        <v>800</v>
      </c>
      <c r="I211" s="5">
        <v>1</v>
      </c>
      <c r="J211" s="5">
        <v>0</v>
      </c>
      <c r="K211" s="5">
        <v>18.739480082289134</v>
      </c>
      <c r="L211" s="5">
        <v>33.121376472788484</v>
      </c>
      <c r="M211" s="5">
        <v>41.069758743220497</v>
      </c>
      <c r="N211" s="5">
        <v>7.0693847017018889</v>
      </c>
      <c r="O211" s="5"/>
      <c r="P211" t="s">
        <v>68</v>
      </c>
      <c r="Q211" t="s">
        <v>69</v>
      </c>
    </row>
    <row r="212" spans="1:17" x14ac:dyDescent="0.3">
      <c r="A212">
        <f t="shared" si="3"/>
        <v>208</v>
      </c>
      <c r="B212">
        <v>44.18</v>
      </c>
      <c r="C212" s="5">
        <v>5.34</v>
      </c>
      <c r="D212" s="5">
        <v>45.35</v>
      </c>
      <c r="E212" s="5">
        <v>5.93</v>
      </c>
      <c r="F212" s="5">
        <v>4.58</v>
      </c>
      <c r="G212" s="5">
        <v>0.24</v>
      </c>
      <c r="H212" s="5">
        <v>800</v>
      </c>
      <c r="I212" s="5">
        <v>1</v>
      </c>
      <c r="J212" s="5">
        <v>0</v>
      </c>
      <c r="K212" s="5">
        <v>18.437025796661612</v>
      </c>
      <c r="L212" s="5">
        <v>27.04855842185129</v>
      </c>
      <c r="M212" s="5">
        <v>48.767071320182097</v>
      </c>
      <c r="N212" s="5">
        <v>5.7473444613050075</v>
      </c>
      <c r="O212" s="5"/>
      <c r="P212" t="s">
        <v>68</v>
      </c>
      <c r="Q212" t="s">
        <v>69</v>
      </c>
    </row>
    <row r="213" spans="1:17" x14ac:dyDescent="0.3">
      <c r="A213">
        <f t="shared" si="3"/>
        <v>209</v>
      </c>
      <c r="B213">
        <v>44.18</v>
      </c>
      <c r="C213" s="5">
        <v>5.34</v>
      </c>
      <c r="D213" s="5">
        <v>45.35</v>
      </c>
      <c r="E213" s="5">
        <v>5.93</v>
      </c>
      <c r="F213" s="5">
        <v>4.58</v>
      </c>
      <c r="G213" s="5">
        <v>0.15</v>
      </c>
      <c r="H213" s="5">
        <v>750</v>
      </c>
      <c r="I213" s="5">
        <v>1</v>
      </c>
      <c r="J213" s="5">
        <v>0</v>
      </c>
      <c r="K213" s="5">
        <v>18.164898566908619</v>
      </c>
      <c r="L213" s="5">
        <v>38.358458961474042</v>
      </c>
      <c r="M213" s="5">
        <v>31.639679880885915</v>
      </c>
      <c r="N213" s="5">
        <v>11.836962590731435</v>
      </c>
      <c r="O213" s="5"/>
      <c r="P213" t="s">
        <v>68</v>
      </c>
      <c r="Q213" t="s">
        <v>69</v>
      </c>
    </row>
    <row r="214" spans="1:17" x14ac:dyDescent="0.3">
      <c r="A214">
        <f t="shared" si="3"/>
        <v>210</v>
      </c>
      <c r="B214">
        <v>44.18</v>
      </c>
      <c r="C214" s="5">
        <v>5.34</v>
      </c>
      <c r="D214" s="5">
        <v>45.35</v>
      </c>
      <c r="E214" s="5">
        <v>5.93</v>
      </c>
      <c r="F214" s="5">
        <v>4.58</v>
      </c>
      <c r="G214" s="5">
        <v>0.15</v>
      </c>
      <c r="H214" s="5">
        <v>850</v>
      </c>
      <c r="I214" s="5">
        <v>1</v>
      </c>
      <c r="J214" s="5">
        <v>0</v>
      </c>
      <c r="K214" s="5">
        <v>21.343638525564803</v>
      </c>
      <c r="L214" s="5">
        <v>37.594133967499012</v>
      </c>
      <c r="M214" s="5">
        <v>33.234244946492268</v>
      </c>
      <c r="N214" s="5">
        <v>7.8279825604439157</v>
      </c>
      <c r="O214" s="5"/>
      <c r="P214" t="s">
        <v>68</v>
      </c>
      <c r="Q214" t="s">
        <v>69</v>
      </c>
    </row>
    <row r="215" spans="1:17" x14ac:dyDescent="0.3">
      <c r="A215">
        <f t="shared" si="3"/>
        <v>211</v>
      </c>
      <c r="B215">
        <v>49.3</v>
      </c>
      <c r="C215" s="5">
        <v>5.9</v>
      </c>
      <c r="D215" s="5">
        <v>44.37</v>
      </c>
      <c r="E215" s="5">
        <v>8.4</v>
      </c>
      <c r="F215" s="5">
        <v>0.33</v>
      </c>
      <c r="G215" s="5">
        <v>0.17</v>
      </c>
      <c r="H215" s="5">
        <v>780</v>
      </c>
      <c r="I215" s="5">
        <v>1</v>
      </c>
      <c r="J215" s="5">
        <v>0.65</v>
      </c>
      <c r="K215" s="5">
        <v>20.2</v>
      </c>
      <c r="L215" s="5">
        <v>15.2</v>
      </c>
      <c r="M215" s="5">
        <v>16.399999999999999</v>
      </c>
      <c r="N215" s="5">
        <v>4.7</v>
      </c>
      <c r="O215" s="5"/>
      <c r="P215" t="s">
        <v>70</v>
      </c>
      <c r="Q215" t="s">
        <v>71</v>
      </c>
    </row>
    <row r="216" spans="1:17" x14ac:dyDescent="0.3">
      <c r="A216">
        <f t="shared" si="3"/>
        <v>212</v>
      </c>
      <c r="B216">
        <v>49.3</v>
      </c>
      <c r="C216" s="5">
        <v>5.9</v>
      </c>
      <c r="D216" s="5">
        <v>44.37</v>
      </c>
      <c r="E216" s="5">
        <v>8.4</v>
      </c>
      <c r="F216" s="5">
        <v>0.33</v>
      </c>
      <c r="G216" s="5">
        <v>0.17</v>
      </c>
      <c r="H216" s="5">
        <v>780</v>
      </c>
      <c r="I216" s="5">
        <v>1</v>
      </c>
      <c r="J216" s="5">
        <v>0.65</v>
      </c>
      <c r="K216" s="5">
        <v>19.8</v>
      </c>
      <c r="L216" s="5">
        <v>16.399999999999999</v>
      </c>
      <c r="M216" s="5">
        <v>15.9</v>
      </c>
      <c r="N216" s="5">
        <v>4.9000000000000004</v>
      </c>
      <c r="O216" s="5"/>
      <c r="P216" t="s">
        <v>70</v>
      </c>
      <c r="Q216" t="s">
        <v>71</v>
      </c>
    </row>
    <row r="217" spans="1:17" x14ac:dyDescent="0.3">
      <c r="A217">
        <f t="shared" si="3"/>
        <v>213</v>
      </c>
      <c r="B217">
        <v>49.3</v>
      </c>
      <c r="C217" s="5">
        <v>5.9</v>
      </c>
      <c r="D217" s="5">
        <v>44.37</v>
      </c>
      <c r="E217" s="5">
        <v>8.4</v>
      </c>
      <c r="F217" s="5">
        <v>0.33</v>
      </c>
      <c r="G217" s="5">
        <v>0.17</v>
      </c>
      <c r="H217" s="5">
        <v>780</v>
      </c>
      <c r="I217" s="5">
        <v>3</v>
      </c>
      <c r="J217" s="5">
        <v>0.65</v>
      </c>
      <c r="K217" s="5">
        <v>20.3</v>
      </c>
      <c r="L217" s="5">
        <v>13.8</v>
      </c>
      <c r="M217" s="5">
        <v>16.899999999999999</v>
      </c>
      <c r="N217" s="5">
        <v>4.4000000000000004</v>
      </c>
      <c r="O217" s="5"/>
      <c r="P217" t="s">
        <v>70</v>
      </c>
      <c r="Q217" t="s">
        <v>71</v>
      </c>
    </row>
    <row r="218" spans="1:17" x14ac:dyDescent="0.3">
      <c r="A218">
        <f t="shared" si="3"/>
        <v>214</v>
      </c>
      <c r="B218">
        <v>42.8</v>
      </c>
      <c r="C218" s="5">
        <v>5.5</v>
      </c>
      <c r="D218" s="5">
        <f t="shared" ref="D218:D227" si="4">100-B218-C218-F218</f>
        <v>37.400000000000006</v>
      </c>
      <c r="E218" s="5">
        <v>9.6999999999999993</v>
      </c>
      <c r="F218" s="5">
        <v>14.3</v>
      </c>
      <c r="G218" s="5">
        <v>0.21</v>
      </c>
      <c r="H218" s="5">
        <v>700</v>
      </c>
      <c r="I218" s="5">
        <v>1</v>
      </c>
      <c r="J218" s="5">
        <v>0</v>
      </c>
      <c r="K218" s="5">
        <v>28.644897170007418</v>
      </c>
      <c r="L218" s="5">
        <v>26.894412762818792</v>
      </c>
      <c r="M218" s="5">
        <v>34.000192686914993</v>
      </c>
      <c r="N218" s="5">
        <v>5.468780311102428</v>
      </c>
      <c r="O218" s="5">
        <v>0.93136253937798108</v>
      </c>
      <c r="P218" t="s">
        <v>32</v>
      </c>
      <c r="Q218" t="s">
        <v>72</v>
      </c>
    </row>
    <row r="219" spans="1:17" x14ac:dyDescent="0.3">
      <c r="A219">
        <f t="shared" si="3"/>
        <v>215</v>
      </c>
      <c r="B219">
        <v>42.8</v>
      </c>
      <c r="C219" s="5">
        <v>5.5</v>
      </c>
      <c r="D219" s="5">
        <f t="shared" si="4"/>
        <v>37.400000000000006</v>
      </c>
      <c r="E219" s="5">
        <v>9.6999999999999993</v>
      </c>
      <c r="F219" s="5">
        <v>14.3</v>
      </c>
      <c r="G219" s="5">
        <v>0.21</v>
      </c>
      <c r="H219" s="5">
        <v>725</v>
      </c>
      <c r="I219" s="5">
        <v>1</v>
      </c>
      <c r="J219" s="5">
        <v>0</v>
      </c>
      <c r="K219" s="5">
        <v>26.45347226752018</v>
      </c>
      <c r="L219" s="5">
        <v>21.835752841754228</v>
      </c>
      <c r="M219" s="5">
        <v>40.473240867219204</v>
      </c>
      <c r="N219" s="5">
        <v>5.8730138646414813</v>
      </c>
      <c r="O219" s="5">
        <v>1.1076266190509996</v>
      </c>
      <c r="P219" t="s">
        <v>32</v>
      </c>
      <c r="Q219" t="s">
        <v>73</v>
      </c>
    </row>
    <row r="220" spans="1:17" x14ac:dyDescent="0.3">
      <c r="A220">
        <f t="shared" si="3"/>
        <v>216</v>
      </c>
      <c r="B220">
        <v>42.8</v>
      </c>
      <c r="C220" s="5">
        <v>5.5</v>
      </c>
      <c r="D220" s="5">
        <f t="shared" si="4"/>
        <v>37.400000000000006</v>
      </c>
      <c r="E220" s="5">
        <v>9.6999999999999993</v>
      </c>
      <c r="F220" s="5">
        <v>14.3</v>
      </c>
      <c r="G220" s="5">
        <v>0.17</v>
      </c>
      <c r="H220" s="5">
        <v>750</v>
      </c>
      <c r="I220" s="5">
        <v>1</v>
      </c>
      <c r="J220" s="5">
        <v>0</v>
      </c>
      <c r="K220" s="5">
        <v>28.378121620024885</v>
      </c>
      <c r="L220" s="5">
        <v>31.41682040374765</v>
      </c>
      <c r="M220" s="5">
        <v>28.684454476134736</v>
      </c>
      <c r="N220" s="5">
        <v>6.1828438018350935</v>
      </c>
      <c r="O220" s="5">
        <v>1.2205519645121334</v>
      </c>
      <c r="P220" t="s">
        <v>32</v>
      </c>
      <c r="Q220" t="s">
        <v>74</v>
      </c>
    </row>
    <row r="221" spans="1:17" x14ac:dyDescent="0.3">
      <c r="A221">
        <f t="shared" si="3"/>
        <v>217</v>
      </c>
      <c r="B221">
        <v>42.8</v>
      </c>
      <c r="C221" s="5">
        <v>5.5</v>
      </c>
      <c r="D221" s="5">
        <f t="shared" si="4"/>
        <v>37.400000000000006</v>
      </c>
      <c r="E221" s="5">
        <v>9.6999999999999993</v>
      </c>
      <c r="F221" s="5">
        <v>14.3</v>
      </c>
      <c r="G221" s="5">
        <v>0.21</v>
      </c>
      <c r="H221" s="5">
        <v>750</v>
      </c>
      <c r="I221" s="5">
        <v>1</v>
      </c>
      <c r="J221" s="5">
        <v>0</v>
      </c>
      <c r="K221" s="5">
        <v>27.296441556208023</v>
      </c>
      <c r="L221" s="5">
        <v>30.645959216666128</v>
      </c>
      <c r="M221" s="5">
        <v>31.181471238596579</v>
      </c>
      <c r="N221" s="5">
        <v>5.7094384475132234</v>
      </c>
      <c r="O221" s="5">
        <v>1.2468356401881693</v>
      </c>
      <c r="P221" t="s">
        <v>32</v>
      </c>
      <c r="Q221" t="s">
        <v>75</v>
      </c>
    </row>
    <row r="222" spans="1:17" x14ac:dyDescent="0.3">
      <c r="A222">
        <f t="shared" si="3"/>
        <v>218</v>
      </c>
      <c r="B222">
        <v>46.85</v>
      </c>
      <c r="C222" s="5">
        <v>6.3</v>
      </c>
      <c r="D222" s="5">
        <f t="shared" si="4"/>
        <v>45.550000000000004</v>
      </c>
      <c r="E222" s="5">
        <v>9</v>
      </c>
      <c r="F222" s="5">
        <v>1.3</v>
      </c>
      <c r="G222" s="5">
        <v>0.18</v>
      </c>
      <c r="H222" s="5">
        <v>750</v>
      </c>
      <c r="I222" s="5">
        <v>1</v>
      </c>
      <c r="J222" s="5">
        <v>0</v>
      </c>
      <c r="K222" s="5">
        <v>17.786757717251525</v>
      </c>
      <c r="L222" s="5">
        <v>35.108686288061314</v>
      </c>
      <c r="M222" s="5">
        <v>30.586462122451653</v>
      </c>
      <c r="N222" s="5">
        <v>10.464994374208686</v>
      </c>
      <c r="O222" s="5">
        <v>0.85878904508543175</v>
      </c>
      <c r="P222" t="s">
        <v>76</v>
      </c>
      <c r="Q222" t="s">
        <v>77</v>
      </c>
    </row>
    <row r="223" spans="1:17" x14ac:dyDescent="0.3">
      <c r="A223">
        <f t="shared" si="3"/>
        <v>219</v>
      </c>
      <c r="B223">
        <v>46.85</v>
      </c>
      <c r="C223" s="5">
        <v>6.3</v>
      </c>
      <c r="D223" s="5">
        <f t="shared" si="4"/>
        <v>45.550000000000004</v>
      </c>
      <c r="E223" s="5">
        <v>9</v>
      </c>
      <c r="F223" s="5">
        <v>1.3</v>
      </c>
      <c r="G223" s="5">
        <v>0.22</v>
      </c>
      <c r="H223" s="5">
        <v>750</v>
      </c>
      <c r="I223" s="5">
        <v>1</v>
      </c>
      <c r="J223" s="5">
        <v>0</v>
      </c>
      <c r="K223" s="5">
        <v>18.571393205592301</v>
      </c>
      <c r="L223" s="5">
        <v>33.306219283412851</v>
      </c>
      <c r="M223" s="5">
        <v>32.861351429887442</v>
      </c>
      <c r="N223" s="5">
        <v>9.706146897443853</v>
      </c>
      <c r="O223" s="5">
        <v>0.94753218976180809</v>
      </c>
      <c r="P223" t="s">
        <v>76</v>
      </c>
      <c r="Q223" t="s">
        <v>77</v>
      </c>
    </row>
    <row r="224" spans="1:17" x14ac:dyDescent="0.3">
      <c r="A224">
        <f t="shared" si="3"/>
        <v>220</v>
      </c>
      <c r="B224">
        <v>46.85</v>
      </c>
      <c r="C224" s="5">
        <v>6.3</v>
      </c>
      <c r="D224" s="5">
        <f t="shared" si="4"/>
        <v>45.550000000000004</v>
      </c>
      <c r="E224" s="5">
        <v>9</v>
      </c>
      <c r="F224" s="5">
        <v>1.3</v>
      </c>
      <c r="G224" s="5">
        <v>0.27</v>
      </c>
      <c r="H224" s="5">
        <v>750</v>
      </c>
      <c r="I224" s="5">
        <v>1</v>
      </c>
      <c r="J224" s="5">
        <v>0</v>
      </c>
      <c r="K224" s="5">
        <v>15.762348784513728</v>
      </c>
      <c r="L224" s="5">
        <v>33.789485186665196</v>
      </c>
      <c r="M224" s="5">
        <v>35.490355013367243</v>
      </c>
      <c r="N224" s="5">
        <v>9.4550650397066587</v>
      </c>
      <c r="O224" s="5">
        <v>0.97575239537080982</v>
      </c>
      <c r="P224" t="s">
        <v>76</v>
      </c>
      <c r="Q224" t="s">
        <v>77</v>
      </c>
    </row>
    <row r="225" spans="1:17" x14ac:dyDescent="0.3">
      <c r="A225">
        <f t="shared" si="3"/>
        <v>221</v>
      </c>
      <c r="B225" s="6">
        <v>46.76</v>
      </c>
      <c r="C225" s="7">
        <v>5.68</v>
      </c>
      <c r="D225" s="7">
        <f t="shared" si="4"/>
        <v>39.46</v>
      </c>
      <c r="E225" s="7">
        <v>9.94</v>
      </c>
      <c r="F225" s="7">
        <v>8.1</v>
      </c>
      <c r="G225" s="7">
        <v>0.17</v>
      </c>
      <c r="H225" s="7">
        <v>750</v>
      </c>
      <c r="I225" s="7">
        <v>1</v>
      </c>
      <c r="J225" s="7">
        <v>0</v>
      </c>
      <c r="K225" s="5">
        <v>19.001068797046035</v>
      </c>
      <c r="L225" s="5">
        <v>31.951085733864574</v>
      </c>
      <c r="M225" s="5">
        <v>32.782913875662935</v>
      </c>
      <c r="N225" s="5">
        <v>9.9336824778848758</v>
      </c>
      <c r="O225" s="5">
        <v>0.97178425842422012</v>
      </c>
      <c r="P225" t="s">
        <v>76</v>
      </c>
      <c r="Q225" t="s">
        <v>77</v>
      </c>
    </row>
    <row r="226" spans="1:17" x14ac:dyDescent="0.3">
      <c r="A226">
        <f t="shared" si="3"/>
        <v>222</v>
      </c>
      <c r="B226" s="6">
        <v>46.76</v>
      </c>
      <c r="C226" s="7">
        <v>5.68</v>
      </c>
      <c r="D226" s="7">
        <f t="shared" si="4"/>
        <v>39.46</v>
      </c>
      <c r="E226" s="7">
        <v>9.94</v>
      </c>
      <c r="F226" s="7">
        <v>8.1</v>
      </c>
      <c r="G226" s="7">
        <v>0.21</v>
      </c>
      <c r="H226" s="7">
        <v>750</v>
      </c>
      <c r="I226" s="7">
        <v>1</v>
      </c>
      <c r="J226" s="7">
        <v>0</v>
      </c>
      <c r="K226" s="5">
        <v>21.798933521217162</v>
      </c>
      <c r="L226" s="5">
        <v>29.123555760549259</v>
      </c>
      <c r="M226" s="5">
        <v>34.426570975812993</v>
      </c>
      <c r="N226" s="5">
        <v>8.7784017496617768</v>
      </c>
      <c r="O226" s="5">
        <v>0.98298930074710433</v>
      </c>
      <c r="P226" t="s">
        <v>76</v>
      </c>
      <c r="Q226" t="s">
        <v>77</v>
      </c>
    </row>
    <row r="227" spans="1:17" x14ac:dyDescent="0.3">
      <c r="A227">
        <f t="shared" si="3"/>
        <v>223</v>
      </c>
      <c r="B227" s="6">
        <v>46.76</v>
      </c>
      <c r="C227" s="7">
        <v>5.68</v>
      </c>
      <c r="D227" s="7">
        <f t="shared" si="4"/>
        <v>39.46</v>
      </c>
      <c r="E227" s="7">
        <v>9.94</v>
      </c>
      <c r="F227" s="7">
        <v>8.1</v>
      </c>
      <c r="G227" s="7">
        <v>0.25</v>
      </c>
      <c r="H227" s="7">
        <v>750</v>
      </c>
      <c r="I227" s="7">
        <v>1</v>
      </c>
      <c r="J227" s="7">
        <v>0</v>
      </c>
      <c r="K227" s="5">
        <v>18.030213845180633</v>
      </c>
      <c r="L227" s="5">
        <v>28.78932622192383</v>
      </c>
      <c r="M227" s="5">
        <v>38.610254729584184</v>
      </c>
      <c r="N227" s="5">
        <v>8.5340141409650645</v>
      </c>
      <c r="O227" s="5">
        <v>0.97381637052161218</v>
      </c>
      <c r="P227" t="s">
        <v>76</v>
      </c>
      <c r="Q227" t="s">
        <v>77</v>
      </c>
    </row>
    <row r="228" spans="1:17" x14ac:dyDescent="0.3">
      <c r="A228">
        <f t="shared" si="3"/>
        <v>224</v>
      </c>
      <c r="B228">
        <v>53.833710000000004</v>
      </c>
      <c r="C228">
        <v>5.9211150000000004</v>
      </c>
      <c r="D228">
        <v>38.857934999999998</v>
      </c>
      <c r="E228">
        <v>5.28</v>
      </c>
      <c r="F228">
        <v>1.1499999999999999</v>
      </c>
      <c r="G228" s="7">
        <v>0</v>
      </c>
      <c r="H228" s="7">
        <v>850</v>
      </c>
      <c r="I228" s="7">
        <v>1</v>
      </c>
      <c r="J228">
        <v>1.2272727269999999</v>
      </c>
      <c r="K228">
        <v>48.324873096446701</v>
      </c>
      <c r="L228">
        <v>24.162436548223351</v>
      </c>
      <c r="M228">
        <v>21.421319796954315</v>
      </c>
      <c r="N228">
        <v>5.0761421319796955</v>
      </c>
      <c r="O228">
        <v>1.51</v>
      </c>
      <c r="P228" t="s">
        <v>78</v>
      </c>
      <c r="Q228" t="s">
        <v>79</v>
      </c>
    </row>
    <row r="229" spans="1:17" x14ac:dyDescent="0.3">
      <c r="A229">
        <f t="shared" si="3"/>
        <v>225</v>
      </c>
      <c r="B229">
        <v>53.833710000000004</v>
      </c>
      <c r="C229">
        <v>5.9211150000000004</v>
      </c>
      <c r="D229">
        <v>38.857934999999998</v>
      </c>
      <c r="E229">
        <v>5.28</v>
      </c>
      <c r="F229">
        <v>1.1499999999999999</v>
      </c>
      <c r="G229">
        <v>7.0000000000000007E-2</v>
      </c>
      <c r="H229">
        <v>850</v>
      </c>
      <c r="I229">
        <v>1</v>
      </c>
      <c r="J229">
        <v>1.2272727269999999</v>
      </c>
      <c r="K229">
        <v>45.566037735849058</v>
      </c>
      <c r="L229">
        <v>23.915094339622641</v>
      </c>
      <c r="M229">
        <v>23.632075471698112</v>
      </c>
      <c r="N229">
        <v>5.0943396226415096</v>
      </c>
      <c r="O229">
        <v>1.49</v>
      </c>
      <c r="P229" t="s">
        <v>78</v>
      </c>
      <c r="Q229" t="s">
        <v>79</v>
      </c>
    </row>
    <row r="230" spans="1:17" x14ac:dyDescent="0.3">
      <c r="A230">
        <f t="shared" si="3"/>
        <v>226</v>
      </c>
      <c r="B230">
        <v>53.833710000000004</v>
      </c>
      <c r="C230">
        <v>5.9211150000000004</v>
      </c>
      <c r="D230">
        <v>38.857934999999998</v>
      </c>
      <c r="E230">
        <v>5.28</v>
      </c>
      <c r="F230">
        <v>1.1499999999999999</v>
      </c>
      <c r="G230">
        <v>0.11</v>
      </c>
      <c r="H230">
        <v>850</v>
      </c>
      <c r="I230">
        <v>1</v>
      </c>
      <c r="J230">
        <v>1.2272727269999999</v>
      </c>
      <c r="K230">
        <v>45.141509433962263</v>
      </c>
      <c r="L230">
        <v>22.641509433962263</v>
      </c>
      <c r="M230">
        <v>26.037735849056602</v>
      </c>
      <c r="N230">
        <v>4.8113207547169807</v>
      </c>
      <c r="O230">
        <v>1.38</v>
      </c>
      <c r="P230" t="s">
        <v>78</v>
      </c>
      <c r="Q230" t="s">
        <v>79</v>
      </c>
    </row>
    <row r="231" spans="1:17" x14ac:dyDescent="0.3">
      <c r="A231">
        <f t="shared" si="3"/>
        <v>227</v>
      </c>
      <c r="B231">
        <v>53.833710000000004</v>
      </c>
      <c r="C231">
        <v>5.9211150000000004</v>
      </c>
      <c r="D231">
        <v>38.857934999999998</v>
      </c>
      <c r="E231">
        <v>5.28</v>
      </c>
      <c r="F231">
        <v>1.1499999999999999</v>
      </c>
      <c r="G231">
        <v>0.15</v>
      </c>
      <c r="H231">
        <v>850</v>
      </c>
      <c r="I231">
        <v>1</v>
      </c>
      <c r="J231">
        <v>1.2272727269999999</v>
      </c>
      <c r="K231">
        <v>42.169811320754718</v>
      </c>
      <c r="L231">
        <v>24.90566037735849</v>
      </c>
      <c r="M231">
        <v>26.037735849056602</v>
      </c>
      <c r="N231">
        <v>5.2358490566037732</v>
      </c>
      <c r="O231">
        <v>1.49</v>
      </c>
      <c r="P231" t="s">
        <v>78</v>
      </c>
      <c r="Q231" t="s">
        <v>79</v>
      </c>
    </row>
    <row r="232" spans="1:17" x14ac:dyDescent="0.3">
      <c r="A232">
        <f t="shared" si="3"/>
        <v>228</v>
      </c>
      <c r="B232">
        <v>53.833710000000004</v>
      </c>
      <c r="C232">
        <v>5.9211150000000004</v>
      </c>
      <c r="D232">
        <v>38.857934999999998</v>
      </c>
      <c r="E232">
        <v>5.28</v>
      </c>
      <c r="F232">
        <v>1.1499999999999999</v>
      </c>
      <c r="G232">
        <v>0.18</v>
      </c>
      <c r="H232">
        <v>850</v>
      </c>
      <c r="I232">
        <v>1</v>
      </c>
      <c r="J232">
        <v>1.2272727269999999</v>
      </c>
      <c r="K232">
        <v>39.764150943396224</v>
      </c>
      <c r="L232">
        <v>24.90566037735849</v>
      </c>
      <c r="M232">
        <v>28.443396226415093</v>
      </c>
      <c r="N232">
        <v>5.2358490566037732</v>
      </c>
      <c r="O232">
        <v>1.42</v>
      </c>
      <c r="P232" t="s">
        <v>78</v>
      </c>
      <c r="Q232" t="s">
        <v>79</v>
      </c>
    </row>
    <row r="233" spans="1:17" x14ac:dyDescent="0.3">
      <c r="A233">
        <f t="shared" si="3"/>
        <v>229</v>
      </c>
      <c r="B233">
        <v>53.833710000000004</v>
      </c>
      <c r="C233">
        <v>5.9211150000000004</v>
      </c>
      <c r="D233">
        <v>38.857934999999998</v>
      </c>
      <c r="E233">
        <v>5.28</v>
      </c>
      <c r="F233">
        <v>1.1499999999999999</v>
      </c>
      <c r="G233">
        <v>0.22</v>
      </c>
      <c r="H233">
        <v>850</v>
      </c>
      <c r="I233">
        <v>1</v>
      </c>
      <c r="J233">
        <v>1.2272727269999999</v>
      </c>
      <c r="K233">
        <v>40.754716981132077</v>
      </c>
      <c r="L233">
        <v>25.471698113207548</v>
      </c>
      <c r="M233">
        <v>27.59433962264151</v>
      </c>
      <c r="N233">
        <v>4.6698113207547172</v>
      </c>
      <c r="O233">
        <v>1.57</v>
      </c>
      <c r="P233" t="s">
        <v>78</v>
      </c>
      <c r="Q233" t="s">
        <v>79</v>
      </c>
    </row>
    <row r="234" spans="1:17" x14ac:dyDescent="0.3">
      <c r="A234">
        <f t="shared" si="3"/>
        <v>230</v>
      </c>
      <c r="B234">
        <v>53.833710000000004</v>
      </c>
      <c r="C234">
        <v>5.9211150000000004</v>
      </c>
      <c r="D234">
        <v>38.857934999999998</v>
      </c>
      <c r="E234">
        <v>5.28</v>
      </c>
      <c r="F234">
        <v>1.1499999999999999</v>
      </c>
      <c r="G234">
        <v>7.0000000000000007E-2</v>
      </c>
      <c r="H234">
        <v>800</v>
      </c>
      <c r="I234">
        <v>1</v>
      </c>
      <c r="J234">
        <v>1.2272727269999999</v>
      </c>
      <c r="K234">
        <v>40.570175438596486</v>
      </c>
      <c r="L234">
        <v>24.342105263157894</v>
      </c>
      <c r="M234">
        <v>27.083333333333332</v>
      </c>
      <c r="N234">
        <v>6.0307017543859649</v>
      </c>
      <c r="O234">
        <v>1.05</v>
      </c>
      <c r="P234" t="s">
        <v>78</v>
      </c>
      <c r="Q234" t="s">
        <v>79</v>
      </c>
    </row>
    <row r="235" spans="1:17" x14ac:dyDescent="0.3">
      <c r="A235">
        <f t="shared" si="3"/>
        <v>231</v>
      </c>
      <c r="B235">
        <v>53.833710000000004</v>
      </c>
      <c r="C235">
        <v>5.9211150000000004</v>
      </c>
      <c r="D235">
        <v>38.857934999999998</v>
      </c>
      <c r="E235">
        <v>5.28</v>
      </c>
      <c r="F235">
        <v>1.1499999999999999</v>
      </c>
      <c r="G235">
        <v>7.0000000000000007E-2</v>
      </c>
      <c r="H235">
        <v>950</v>
      </c>
      <c r="I235">
        <v>1</v>
      </c>
      <c r="J235">
        <v>1.2272727269999999</v>
      </c>
      <c r="K235">
        <v>46.600877192982452</v>
      </c>
      <c r="L235">
        <v>23.903508771929822</v>
      </c>
      <c r="M235">
        <v>23.684210526315788</v>
      </c>
      <c r="N235">
        <v>4.6052631578947363</v>
      </c>
      <c r="O235">
        <v>1.55</v>
      </c>
      <c r="P235" t="s">
        <v>78</v>
      </c>
      <c r="Q235" t="s">
        <v>79</v>
      </c>
    </row>
    <row r="236" spans="1:17" x14ac:dyDescent="0.3">
      <c r="A236">
        <f t="shared" si="3"/>
        <v>232</v>
      </c>
      <c r="B236">
        <v>53.833710000000004</v>
      </c>
      <c r="C236">
        <v>5.9211150000000004</v>
      </c>
      <c r="D236">
        <v>38.857934999999998</v>
      </c>
      <c r="E236">
        <v>5.28</v>
      </c>
      <c r="F236">
        <v>1.1499999999999999</v>
      </c>
      <c r="G236">
        <v>0</v>
      </c>
      <c r="H236">
        <v>800</v>
      </c>
      <c r="I236">
        <v>1</v>
      </c>
      <c r="J236">
        <v>1.2272727269999999</v>
      </c>
      <c r="K236">
        <v>42.903930131004365</v>
      </c>
      <c r="L236">
        <v>26.091703056768559</v>
      </c>
      <c r="M236">
        <v>22.270742358078603</v>
      </c>
      <c r="N236">
        <v>6.9868995633187776</v>
      </c>
      <c r="O236">
        <v>1.03</v>
      </c>
      <c r="P236" t="s">
        <v>78</v>
      </c>
      <c r="Q236" t="s">
        <v>79</v>
      </c>
    </row>
    <row r="237" spans="1:17" x14ac:dyDescent="0.3">
      <c r="A237">
        <f t="shared" si="3"/>
        <v>233</v>
      </c>
      <c r="B237">
        <v>53.833710000000004</v>
      </c>
      <c r="C237">
        <v>5.9211150000000004</v>
      </c>
      <c r="D237">
        <v>38.857934999999998</v>
      </c>
      <c r="E237">
        <v>5.28</v>
      </c>
      <c r="F237">
        <v>1.1499999999999999</v>
      </c>
      <c r="G237">
        <v>0</v>
      </c>
      <c r="H237">
        <v>900</v>
      </c>
      <c r="I237">
        <v>1</v>
      </c>
      <c r="J237">
        <v>1.2272727269999999</v>
      </c>
      <c r="K237">
        <v>49.017467248908297</v>
      </c>
      <c r="L237">
        <v>24.563318777292576</v>
      </c>
      <c r="M237">
        <v>20.305676855895197</v>
      </c>
      <c r="N237">
        <v>4.6943231441048034</v>
      </c>
      <c r="O237">
        <v>1.56</v>
      </c>
      <c r="P237" t="s">
        <v>78</v>
      </c>
      <c r="Q237" t="s">
        <v>79</v>
      </c>
    </row>
    <row r="238" spans="1:17" x14ac:dyDescent="0.3">
      <c r="A238">
        <f t="shared" si="3"/>
        <v>234</v>
      </c>
      <c r="B238">
        <v>50.080103168754604</v>
      </c>
      <c r="C238">
        <v>6.6959469417833448</v>
      </c>
      <c r="D238">
        <v>42.507306032213911</v>
      </c>
      <c r="E238">
        <v>5.01</v>
      </c>
      <c r="F238">
        <v>0.35793241393830932</v>
      </c>
      <c r="G238">
        <v>0</v>
      </c>
      <c r="H238">
        <v>900</v>
      </c>
      <c r="I238">
        <v>1</v>
      </c>
      <c r="J238">
        <v>0.5</v>
      </c>
      <c r="K238">
        <v>37.777777777777779</v>
      </c>
      <c r="L238">
        <v>35.925925925925924</v>
      </c>
      <c r="M238">
        <v>9.6296296296296298</v>
      </c>
      <c r="N238">
        <v>10</v>
      </c>
      <c r="P238" t="s">
        <v>80</v>
      </c>
      <c r="Q238" t="s">
        <v>81</v>
      </c>
    </row>
    <row r="239" spans="1:17" x14ac:dyDescent="0.3">
      <c r="A239">
        <f t="shared" si="3"/>
        <v>235</v>
      </c>
      <c r="B239">
        <v>50.080103168754604</v>
      </c>
      <c r="C239">
        <v>6.6959469417833448</v>
      </c>
      <c r="D239">
        <v>42.507306032213911</v>
      </c>
      <c r="E239">
        <v>5.01</v>
      </c>
      <c r="F239">
        <v>0.35793241393830932</v>
      </c>
      <c r="G239">
        <v>0</v>
      </c>
      <c r="H239">
        <v>900</v>
      </c>
      <c r="I239">
        <v>1</v>
      </c>
      <c r="J239">
        <v>0.6</v>
      </c>
      <c r="K239">
        <v>41.851851851851848</v>
      </c>
      <c r="L239">
        <v>30</v>
      </c>
      <c r="M239">
        <v>11.481481481481481</v>
      </c>
      <c r="N239">
        <v>10.37037037037037</v>
      </c>
      <c r="P239" t="s">
        <v>80</v>
      </c>
      <c r="Q239" t="s">
        <v>81</v>
      </c>
    </row>
    <row r="240" spans="1:17" x14ac:dyDescent="0.3">
      <c r="A240">
        <f t="shared" si="3"/>
        <v>236</v>
      </c>
      <c r="B240">
        <v>50.080103168754604</v>
      </c>
      <c r="C240">
        <v>6.6959469417833448</v>
      </c>
      <c r="D240">
        <v>42.507306032213911</v>
      </c>
      <c r="E240">
        <v>5.01</v>
      </c>
      <c r="F240">
        <v>0.35793241393830932</v>
      </c>
      <c r="G240">
        <v>0</v>
      </c>
      <c r="H240">
        <v>900</v>
      </c>
      <c r="I240">
        <v>1</v>
      </c>
      <c r="J240">
        <v>0.7</v>
      </c>
      <c r="K240">
        <v>45.185185185185183</v>
      </c>
      <c r="L240">
        <v>25.432098765432098</v>
      </c>
      <c r="M240">
        <v>13.703703703703702</v>
      </c>
      <c r="N240">
        <v>10.987654320987653</v>
      </c>
      <c r="P240" t="s">
        <v>80</v>
      </c>
      <c r="Q240" t="s">
        <v>81</v>
      </c>
    </row>
    <row r="241" spans="1:17" x14ac:dyDescent="0.3">
      <c r="A241">
        <f t="shared" si="3"/>
        <v>237</v>
      </c>
      <c r="B241">
        <v>50.080103168754604</v>
      </c>
      <c r="C241">
        <v>6.6959469417833448</v>
      </c>
      <c r="D241">
        <v>42.507306032213911</v>
      </c>
      <c r="E241">
        <v>5.01</v>
      </c>
      <c r="F241">
        <v>0.35793241393830932</v>
      </c>
      <c r="G241">
        <v>0</v>
      </c>
      <c r="H241">
        <v>900</v>
      </c>
      <c r="I241">
        <v>1</v>
      </c>
      <c r="J241">
        <v>0.8</v>
      </c>
      <c r="K241">
        <v>47.777777777777779</v>
      </c>
      <c r="L241">
        <v>21.851851851851851</v>
      </c>
      <c r="M241">
        <v>15.185185185185185</v>
      </c>
      <c r="N241">
        <v>11.481481481481481</v>
      </c>
      <c r="P241" t="s">
        <v>80</v>
      </c>
      <c r="Q241" t="s">
        <v>81</v>
      </c>
    </row>
    <row r="242" spans="1:17" x14ac:dyDescent="0.3">
      <c r="A242">
        <f t="shared" si="3"/>
        <v>238</v>
      </c>
      <c r="B242">
        <v>50.080103168754604</v>
      </c>
      <c r="C242">
        <v>6.6959469417833448</v>
      </c>
      <c r="D242">
        <v>42.507306032213911</v>
      </c>
      <c r="E242">
        <v>5.01</v>
      </c>
      <c r="F242">
        <v>0.35793241393830932</v>
      </c>
      <c r="G242">
        <v>0</v>
      </c>
      <c r="H242">
        <v>900</v>
      </c>
      <c r="I242">
        <v>1</v>
      </c>
      <c r="J242">
        <v>0.9</v>
      </c>
      <c r="K242">
        <v>49.876543209876537</v>
      </c>
      <c r="L242">
        <v>19.876543209876541</v>
      </c>
      <c r="M242">
        <v>16.296296296296294</v>
      </c>
      <c r="N242">
        <v>11.851851851851851</v>
      </c>
      <c r="P242" t="s">
        <v>80</v>
      </c>
      <c r="Q242" t="s">
        <v>81</v>
      </c>
    </row>
    <row r="243" spans="1:17" x14ac:dyDescent="0.3">
      <c r="A243">
        <f t="shared" si="3"/>
        <v>239</v>
      </c>
      <c r="B243">
        <v>50.080103168754604</v>
      </c>
      <c r="C243">
        <v>6.6959469417833448</v>
      </c>
      <c r="D243">
        <v>42.507306032213911</v>
      </c>
      <c r="E243">
        <v>5.01</v>
      </c>
      <c r="F243">
        <v>0.35793241393830932</v>
      </c>
      <c r="G243">
        <v>0</v>
      </c>
      <c r="H243">
        <v>900</v>
      </c>
      <c r="I243">
        <v>1</v>
      </c>
      <c r="J243">
        <v>1</v>
      </c>
      <c r="K243">
        <v>51.111111111111107</v>
      </c>
      <c r="L243">
        <v>18.888888888888889</v>
      </c>
      <c r="M243">
        <v>16.790123456790123</v>
      </c>
      <c r="N243">
        <v>12.469135802469134</v>
      </c>
      <c r="P243" t="s">
        <v>80</v>
      </c>
      <c r="Q243" t="s">
        <v>81</v>
      </c>
    </row>
    <row r="244" spans="1:17" x14ac:dyDescent="0.3">
      <c r="A244">
        <f t="shared" si="3"/>
        <v>240</v>
      </c>
      <c r="B244">
        <f>40.6*100/(100-11.89)</f>
        <v>46.078765179888777</v>
      </c>
      <c r="C244">
        <f>5.61*100/(100-11.89)</f>
        <v>6.3670411985018731</v>
      </c>
      <c r="D244">
        <f>39.88*100/(100-11.89)</f>
        <v>45.261604812166617</v>
      </c>
      <c r="E244">
        <v>11.89</v>
      </c>
      <c r="F244">
        <f>1.56*100/(100-11.89)</f>
        <v>1.7705141300646918</v>
      </c>
      <c r="G244">
        <v>0</v>
      </c>
      <c r="H244">
        <v>720</v>
      </c>
      <c r="I244">
        <v>1</v>
      </c>
      <c r="J244">
        <v>1.2</v>
      </c>
      <c r="K244">
        <v>71.570881226053629</v>
      </c>
      <c r="L244">
        <v>9.0421455938697317</v>
      </c>
      <c r="M244">
        <v>7.3563218390804597</v>
      </c>
      <c r="N244">
        <v>11.494252873563218</v>
      </c>
      <c r="O244">
        <v>0.89495798319327724</v>
      </c>
      <c r="P244" t="s">
        <v>82</v>
      </c>
      <c r="Q244" t="s">
        <v>83</v>
      </c>
    </row>
    <row r="245" spans="1:17" x14ac:dyDescent="0.3">
      <c r="A245">
        <f t="shared" si="3"/>
        <v>241</v>
      </c>
      <c r="B245">
        <f t="shared" ref="B245:B254" si="5">40.6*100/(100-11.89)</f>
        <v>46.078765179888777</v>
      </c>
      <c r="C245">
        <f t="shared" ref="C245:C254" si="6">5.61*100/(100-11.89)</f>
        <v>6.3670411985018731</v>
      </c>
      <c r="D245">
        <f t="shared" ref="D245:D254" si="7">39.88*100/(100-11.89)</f>
        <v>45.261604812166617</v>
      </c>
      <c r="E245">
        <v>11.89</v>
      </c>
      <c r="F245">
        <f t="shared" ref="F245:F254" si="8">1.56*100/(100-11.89)</f>
        <v>1.7705141300646918</v>
      </c>
      <c r="G245">
        <v>0</v>
      </c>
      <c r="H245">
        <v>770</v>
      </c>
      <c r="I245">
        <v>1</v>
      </c>
      <c r="J245">
        <v>1.2</v>
      </c>
      <c r="K245">
        <v>63.90804597701149</v>
      </c>
      <c r="L245">
        <v>12.720306513409961</v>
      </c>
      <c r="M245">
        <v>13.639846743295019</v>
      </c>
      <c r="N245">
        <v>8.7356321839080451</v>
      </c>
      <c r="O245">
        <v>1.046218487394958</v>
      </c>
      <c r="P245" t="s">
        <v>82</v>
      </c>
      <c r="Q245" t="s">
        <v>83</v>
      </c>
    </row>
    <row r="246" spans="1:17" x14ac:dyDescent="0.3">
      <c r="A246">
        <f t="shared" si="3"/>
        <v>242</v>
      </c>
      <c r="B246">
        <f t="shared" si="5"/>
        <v>46.078765179888777</v>
      </c>
      <c r="C246">
        <f t="shared" si="6"/>
        <v>6.3670411985018731</v>
      </c>
      <c r="D246">
        <f t="shared" si="7"/>
        <v>45.261604812166617</v>
      </c>
      <c r="E246">
        <v>11.89</v>
      </c>
      <c r="F246">
        <f t="shared" si="8"/>
        <v>1.7705141300646918</v>
      </c>
      <c r="G246">
        <v>0</v>
      </c>
      <c r="H246">
        <v>820</v>
      </c>
      <c r="I246">
        <v>1</v>
      </c>
      <c r="J246">
        <v>1.2</v>
      </c>
      <c r="K246">
        <v>59.923371647509576</v>
      </c>
      <c r="L246">
        <v>15.478927203065133</v>
      </c>
      <c r="M246">
        <v>16.704980842911876</v>
      </c>
      <c r="N246">
        <v>7.8160919540229878</v>
      </c>
      <c r="O246">
        <v>1.3445378151260503</v>
      </c>
      <c r="P246" t="s">
        <v>82</v>
      </c>
      <c r="Q246" t="s">
        <v>83</v>
      </c>
    </row>
    <row r="247" spans="1:17" x14ac:dyDescent="0.3">
      <c r="A247">
        <f t="shared" si="3"/>
        <v>243</v>
      </c>
      <c r="B247">
        <f t="shared" si="5"/>
        <v>46.078765179888777</v>
      </c>
      <c r="C247">
        <f t="shared" si="6"/>
        <v>6.3670411985018731</v>
      </c>
      <c r="D247">
        <f t="shared" si="7"/>
        <v>45.261604812166617</v>
      </c>
      <c r="E247">
        <v>11.89</v>
      </c>
      <c r="F247">
        <f t="shared" si="8"/>
        <v>1.7705141300646918</v>
      </c>
      <c r="G247">
        <v>0</v>
      </c>
      <c r="H247">
        <v>870</v>
      </c>
      <c r="I247">
        <v>1</v>
      </c>
      <c r="J247">
        <v>1.2</v>
      </c>
      <c r="K247">
        <v>56.398467432950184</v>
      </c>
      <c r="L247">
        <v>20.383141762452105</v>
      </c>
      <c r="M247">
        <v>14.865900383141762</v>
      </c>
      <c r="N247">
        <v>8.275862068965516</v>
      </c>
      <c r="O247">
        <v>1.5420168067226889</v>
      </c>
      <c r="P247" t="s">
        <v>82</v>
      </c>
      <c r="Q247" t="s">
        <v>83</v>
      </c>
    </row>
    <row r="248" spans="1:17" x14ac:dyDescent="0.3">
      <c r="A248">
        <f t="shared" si="3"/>
        <v>244</v>
      </c>
      <c r="B248">
        <f t="shared" si="5"/>
        <v>46.078765179888777</v>
      </c>
      <c r="C248">
        <f t="shared" si="6"/>
        <v>6.3670411985018731</v>
      </c>
      <c r="D248">
        <f t="shared" si="7"/>
        <v>45.261604812166617</v>
      </c>
      <c r="E248">
        <v>11.89</v>
      </c>
      <c r="F248">
        <f t="shared" si="8"/>
        <v>1.7705141300646918</v>
      </c>
      <c r="G248">
        <v>0</v>
      </c>
      <c r="H248">
        <v>920</v>
      </c>
      <c r="I248">
        <v>1</v>
      </c>
      <c r="J248">
        <v>1.2</v>
      </c>
      <c r="K248">
        <v>52.567049808429118</v>
      </c>
      <c r="L248">
        <v>24.674329501915707</v>
      </c>
      <c r="M248">
        <v>13.793103448275861</v>
      </c>
      <c r="N248">
        <v>8.1226053639846736</v>
      </c>
      <c r="O248">
        <v>1.7142857142857142</v>
      </c>
      <c r="P248" t="s">
        <v>82</v>
      </c>
      <c r="Q248" t="s">
        <v>83</v>
      </c>
    </row>
    <row r="249" spans="1:17" x14ac:dyDescent="0.3">
      <c r="A249">
        <f t="shared" si="3"/>
        <v>245</v>
      </c>
      <c r="B249">
        <f t="shared" si="5"/>
        <v>46.078765179888777</v>
      </c>
      <c r="C249">
        <f t="shared" si="6"/>
        <v>6.3670411985018731</v>
      </c>
      <c r="D249">
        <f t="shared" si="7"/>
        <v>45.261604812166617</v>
      </c>
      <c r="E249">
        <v>11.89</v>
      </c>
      <c r="F249">
        <f t="shared" si="8"/>
        <v>1.7705141300646918</v>
      </c>
      <c r="G249">
        <v>0</v>
      </c>
      <c r="H249">
        <v>820</v>
      </c>
      <c r="I249">
        <v>1</v>
      </c>
      <c r="J249">
        <v>0.8</v>
      </c>
      <c r="K249">
        <v>55.802469135802468</v>
      </c>
      <c r="L249">
        <v>20.08230452674897</v>
      </c>
      <c r="M249">
        <v>14.650205761316872</v>
      </c>
      <c r="N249">
        <v>9.0534979423868318</v>
      </c>
      <c r="P249" t="s">
        <v>82</v>
      </c>
      <c r="Q249" t="s">
        <v>83</v>
      </c>
    </row>
    <row r="250" spans="1:17" x14ac:dyDescent="0.3">
      <c r="A250">
        <f t="shared" si="3"/>
        <v>246</v>
      </c>
      <c r="B250">
        <f t="shared" si="5"/>
        <v>46.078765179888777</v>
      </c>
      <c r="C250">
        <f t="shared" si="6"/>
        <v>6.3670411985018731</v>
      </c>
      <c r="D250">
        <f t="shared" si="7"/>
        <v>45.261604812166617</v>
      </c>
      <c r="E250">
        <v>11.89</v>
      </c>
      <c r="F250">
        <f t="shared" si="8"/>
        <v>1.7705141300646918</v>
      </c>
      <c r="G250">
        <v>0</v>
      </c>
      <c r="H250">
        <v>820</v>
      </c>
      <c r="I250">
        <v>1</v>
      </c>
      <c r="J250">
        <v>1</v>
      </c>
      <c r="K250">
        <v>57.283950617283949</v>
      </c>
      <c r="L250">
        <v>17.777777777777779</v>
      </c>
      <c r="M250">
        <v>16.790123456790123</v>
      </c>
      <c r="N250">
        <v>8.3950617283950617</v>
      </c>
      <c r="P250" t="s">
        <v>82</v>
      </c>
      <c r="Q250" t="s">
        <v>83</v>
      </c>
    </row>
    <row r="251" spans="1:17" x14ac:dyDescent="0.3">
      <c r="A251">
        <f t="shared" si="3"/>
        <v>247</v>
      </c>
      <c r="B251">
        <f t="shared" si="5"/>
        <v>46.078765179888777</v>
      </c>
      <c r="C251">
        <f t="shared" si="6"/>
        <v>6.3670411985018731</v>
      </c>
      <c r="D251">
        <f t="shared" si="7"/>
        <v>45.261604812166617</v>
      </c>
      <c r="E251">
        <v>11.89</v>
      </c>
      <c r="F251">
        <f t="shared" si="8"/>
        <v>1.7705141300646918</v>
      </c>
      <c r="G251">
        <v>0</v>
      </c>
      <c r="H251">
        <v>820</v>
      </c>
      <c r="I251">
        <v>1</v>
      </c>
      <c r="J251">
        <v>1.2</v>
      </c>
      <c r="K251">
        <v>60.08230452674897</v>
      </c>
      <c r="L251">
        <v>15.637860082304528</v>
      </c>
      <c r="M251">
        <v>16.790123456790123</v>
      </c>
      <c r="N251">
        <v>8.2304526748971192</v>
      </c>
      <c r="P251" t="s">
        <v>82</v>
      </c>
      <c r="Q251" t="s">
        <v>83</v>
      </c>
    </row>
    <row r="252" spans="1:17" x14ac:dyDescent="0.3">
      <c r="A252">
        <f t="shared" si="3"/>
        <v>248</v>
      </c>
      <c r="B252">
        <f t="shared" si="5"/>
        <v>46.078765179888777</v>
      </c>
      <c r="C252">
        <f t="shared" si="6"/>
        <v>6.3670411985018731</v>
      </c>
      <c r="D252">
        <f t="shared" si="7"/>
        <v>45.261604812166617</v>
      </c>
      <c r="E252">
        <v>11.89</v>
      </c>
      <c r="F252">
        <f t="shared" si="8"/>
        <v>1.7705141300646918</v>
      </c>
      <c r="G252">
        <v>0</v>
      </c>
      <c r="H252">
        <v>820</v>
      </c>
      <c r="I252">
        <v>1</v>
      </c>
      <c r="J252">
        <v>1.4</v>
      </c>
      <c r="K252">
        <v>60.246913580246911</v>
      </c>
      <c r="L252">
        <v>15.802469135802468</v>
      </c>
      <c r="M252">
        <v>16.790123456790123</v>
      </c>
      <c r="N252">
        <v>8.2304526748971192</v>
      </c>
      <c r="P252" t="s">
        <v>82</v>
      </c>
      <c r="Q252" t="s">
        <v>83</v>
      </c>
    </row>
    <row r="253" spans="1:17" x14ac:dyDescent="0.3">
      <c r="A253">
        <f t="shared" si="3"/>
        <v>249</v>
      </c>
      <c r="B253">
        <f t="shared" si="5"/>
        <v>46.078765179888777</v>
      </c>
      <c r="C253">
        <f t="shared" si="6"/>
        <v>6.3670411985018731</v>
      </c>
      <c r="D253">
        <f t="shared" si="7"/>
        <v>45.261604812166617</v>
      </c>
      <c r="E253">
        <v>11.89</v>
      </c>
      <c r="F253">
        <f t="shared" si="8"/>
        <v>1.7705141300646918</v>
      </c>
      <c r="G253">
        <v>0</v>
      </c>
      <c r="H253">
        <v>820</v>
      </c>
      <c r="I253">
        <v>1</v>
      </c>
      <c r="J253">
        <v>1.7</v>
      </c>
      <c r="K253">
        <v>59.25925925925926</v>
      </c>
      <c r="L253">
        <v>14.650205761316872</v>
      </c>
      <c r="M253">
        <v>16.954732510288064</v>
      </c>
      <c r="N253">
        <v>8.0658436213991767</v>
      </c>
      <c r="P253" t="s">
        <v>82</v>
      </c>
      <c r="Q253" t="s">
        <v>83</v>
      </c>
    </row>
    <row r="254" spans="1:17" x14ac:dyDescent="0.3">
      <c r="A254">
        <f t="shared" si="3"/>
        <v>250</v>
      </c>
      <c r="B254">
        <f t="shared" si="5"/>
        <v>46.078765179888777</v>
      </c>
      <c r="C254">
        <f t="shared" si="6"/>
        <v>6.3670411985018731</v>
      </c>
      <c r="D254">
        <f t="shared" si="7"/>
        <v>45.261604812166617</v>
      </c>
      <c r="E254">
        <v>11.89</v>
      </c>
      <c r="F254">
        <f t="shared" si="8"/>
        <v>1.7705141300646918</v>
      </c>
      <c r="G254">
        <v>0</v>
      </c>
      <c r="H254">
        <v>820</v>
      </c>
      <c r="I254">
        <v>1</v>
      </c>
      <c r="J254">
        <v>2</v>
      </c>
      <c r="K254">
        <v>59.25925925925926</v>
      </c>
      <c r="L254">
        <v>13.991769547325102</v>
      </c>
      <c r="M254">
        <v>16.954732510288064</v>
      </c>
      <c r="N254">
        <v>8.3950617283950617</v>
      </c>
      <c r="P254" t="s">
        <v>82</v>
      </c>
      <c r="Q254" t="s">
        <v>83</v>
      </c>
    </row>
    <row r="255" spans="1:17" x14ac:dyDescent="0.3">
      <c r="A255">
        <f t="shared" si="3"/>
        <v>251</v>
      </c>
      <c r="B255">
        <v>52.397671892611946</v>
      </c>
      <c r="C255">
        <v>5.8272794343682754</v>
      </c>
      <c r="D255">
        <v>36.762574034224819</v>
      </c>
      <c r="E255">
        <v>2.41</v>
      </c>
      <c r="F255">
        <v>4.3139665949380062</v>
      </c>
      <c r="G255">
        <v>0.18</v>
      </c>
      <c r="H255">
        <v>800</v>
      </c>
      <c r="I255">
        <v>3</v>
      </c>
      <c r="J255">
        <v>0</v>
      </c>
      <c r="K255">
        <v>21.020042365976803</v>
      </c>
      <c r="L255">
        <v>35.440769105426178</v>
      </c>
      <c r="M255">
        <v>28.474824832980335</v>
      </c>
      <c r="N255">
        <v>9.6545543425126255</v>
      </c>
      <c r="P255" t="s">
        <v>84</v>
      </c>
      <c r="Q255" t="s">
        <v>85</v>
      </c>
    </row>
    <row r="256" spans="1:17" x14ac:dyDescent="0.3">
      <c r="A256">
        <f t="shared" si="3"/>
        <v>252</v>
      </c>
      <c r="B256">
        <v>52.397671892611946</v>
      </c>
      <c r="C256">
        <v>5.8272794343682754</v>
      </c>
      <c r="D256">
        <v>36.762574034224819</v>
      </c>
      <c r="E256">
        <v>2.41</v>
      </c>
      <c r="F256">
        <v>4.3139665949380062</v>
      </c>
      <c r="G256">
        <v>0.21</v>
      </c>
      <c r="H256">
        <v>800</v>
      </c>
      <c r="I256">
        <v>3</v>
      </c>
      <c r="J256">
        <v>0</v>
      </c>
      <c r="K256">
        <v>18.635902636916832</v>
      </c>
      <c r="L256">
        <v>35.496957403651081</v>
      </c>
      <c r="M256">
        <v>30.679513184584266</v>
      </c>
      <c r="N256">
        <v>9.3813387423935115</v>
      </c>
      <c r="P256" t="s">
        <v>84</v>
      </c>
      <c r="Q256" t="s">
        <v>85</v>
      </c>
    </row>
    <row r="257" spans="1:17" x14ac:dyDescent="0.3">
      <c r="A257">
        <f t="shared" si="3"/>
        <v>253</v>
      </c>
      <c r="B257">
        <v>52.397671892611946</v>
      </c>
      <c r="C257">
        <v>5.8272794343682754</v>
      </c>
      <c r="D257">
        <v>36.762574034224819</v>
      </c>
      <c r="E257">
        <v>2.41</v>
      </c>
      <c r="F257">
        <v>4.3139665949380062</v>
      </c>
      <c r="G257">
        <v>0.23</v>
      </c>
      <c r="H257">
        <v>800</v>
      </c>
      <c r="I257">
        <v>3</v>
      </c>
      <c r="J257">
        <v>0</v>
      </c>
      <c r="K257">
        <v>16.578370478626233</v>
      </c>
      <c r="L257">
        <v>34.252831567409629</v>
      </c>
      <c r="M257">
        <v>34.252831567409629</v>
      </c>
      <c r="N257">
        <v>8.7687248812568459</v>
      </c>
      <c r="P257" t="s">
        <v>84</v>
      </c>
      <c r="Q257" t="s">
        <v>85</v>
      </c>
    </row>
    <row r="258" spans="1:17" x14ac:dyDescent="0.3">
      <c r="A258">
        <f t="shared" si="3"/>
        <v>254</v>
      </c>
      <c r="B258">
        <v>52.397671892611946</v>
      </c>
      <c r="C258">
        <v>5.8272794343682754</v>
      </c>
      <c r="D258">
        <v>36.762574034224819</v>
      </c>
      <c r="E258">
        <v>2.41</v>
      </c>
      <c r="F258">
        <v>4.3139665949380062</v>
      </c>
      <c r="G258">
        <v>0.26</v>
      </c>
      <c r="H258">
        <v>800</v>
      </c>
      <c r="I258">
        <v>3</v>
      </c>
      <c r="J258">
        <v>0</v>
      </c>
      <c r="K258">
        <v>14.983351831298561</v>
      </c>
      <c r="L258">
        <v>34.406215316315098</v>
      </c>
      <c r="M258">
        <v>35.516093229744811</v>
      </c>
      <c r="N258">
        <v>9.433962264150944</v>
      </c>
      <c r="P258" t="s">
        <v>84</v>
      </c>
      <c r="Q258" t="s">
        <v>85</v>
      </c>
    </row>
    <row r="259" spans="1:17" x14ac:dyDescent="0.3">
      <c r="A259">
        <f t="shared" si="3"/>
        <v>255</v>
      </c>
      <c r="B259">
        <v>52.397671892611946</v>
      </c>
      <c r="C259">
        <v>5.8272794343682754</v>
      </c>
      <c r="D259">
        <v>36.762574034224819</v>
      </c>
      <c r="E259">
        <v>2.41</v>
      </c>
      <c r="F259">
        <v>4.3139665949380062</v>
      </c>
      <c r="G259">
        <v>0.21</v>
      </c>
      <c r="H259">
        <v>660</v>
      </c>
      <c r="I259">
        <v>3</v>
      </c>
      <c r="J259">
        <v>0</v>
      </c>
      <c r="K259">
        <v>13.258104582085675</v>
      </c>
      <c r="L259">
        <v>30.415651688314252</v>
      </c>
      <c r="M259">
        <v>40.814165086028339</v>
      </c>
      <c r="N259">
        <v>9.6186248928856841</v>
      </c>
      <c r="P259" t="s">
        <v>84</v>
      </c>
      <c r="Q259" t="s">
        <v>85</v>
      </c>
    </row>
    <row r="260" spans="1:17" x14ac:dyDescent="0.3">
      <c r="A260">
        <f t="shared" si="3"/>
        <v>256</v>
      </c>
      <c r="B260">
        <v>52.397671892611946</v>
      </c>
      <c r="C260">
        <v>5.8272794343682754</v>
      </c>
      <c r="D260">
        <v>36.762574034224819</v>
      </c>
      <c r="E260">
        <v>2.41</v>
      </c>
      <c r="F260">
        <v>4.3139665949380062</v>
      </c>
      <c r="G260">
        <v>0.21</v>
      </c>
      <c r="H260">
        <v>700</v>
      </c>
      <c r="I260">
        <v>3</v>
      </c>
      <c r="J260">
        <v>0</v>
      </c>
      <c r="K260">
        <v>14.996121692665684</v>
      </c>
      <c r="L260">
        <v>30.38007411876244</v>
      </c>
      <c r="M260">
        <v>39.041627165388299</v>
      </c>
      <c r="N260">
        <v>8.9201068689132192</v>
      </c>
      <c r="P260" t="s">
        <v>84</v>
      </c>
      <c r="Q260" t="s">
        <v>85</v>
      </c>
    </row>
    <row r="261" spans="1:17" x14ac:dyDescent="0.3">
      <c r="A261">
        <f t="shared" si="3"/>
        <v>257</v>
      </c>
      <c r="B261">
        <v>52.397671892611946</v>
      </c>
      <c r="C261">
        <v>5.8272794343682754</v>
      </c>
      <c r="D261">
        <v>36.762574034224819</v>
      </c>
      <c r="E261">
        <v>2.41</v>
      </c>
      <c r="F261">
        <v>4.3139665949380062</v>
      </c>
      <c r="G261">
        <v>0.21</v>
      </c>
      <c r="H261">
        <v>750</v>
      </c>
      <c r="I261">
        <v>3</v>
      </c>
      <c r="J261">
        <v>0</v>
      </c>
      <c r="K261">
        <v>15.536913656839214</v>
      </c>
      <c r="L261">
        <v>33.622852210503666</v>
      </c>
      <c r="M261">
        <v>34.351145038167942</v>
      </c>
      <c r="N261">
        <v>9.5891888975804438</v>
      </c>
      <c r="P261" t="s">
        <v>84</v>
      </c>
      <c r="Q261" t="s">
        <v>85</v>
      </c>
    </row>
    <row r="262" spans="1:17" x14ac:dyDescent="0.3">
      <c r="A262">
        <f t="shared" si="3"/>
        <v>258</v>
      </c>
      <c r="B262">
        <v>52.397671892611946</v>
      </c>
      <c r="C262">
        <v>5.8272794343682754</v>
      </c>
      <c r="D262">
        <v>36.762574034224819</v>
      </c>
      <c r="E262">
        <v>2.41</v>
      </c>
      <c r="F262">
        <v>4.3139665949380062</v>
      </c>
      <c r="G262">
        <v>0.21</v>
      </c>
      <c r="H262">
        <v>800</v>
      </c>
      <c r="I262">
        <v>3</v>
      </c>
      <c r="J262">
        <v>0</v>
      </c>
      <c r="K262">
        <v>18.557561753122446</v>
      </c>
      <c r="L262">
        <v>35.179672280459073</v>
      </c>
      <c r="M262">
        <v>30.170269107837061</v>
      </c>
      <c r="N262">
        <v>9.1080057684036593</v>
      </c>
      <c r="P262" t="s">
        <v>84</v>
      </c>
      <c r="Q262" t="s">
        <v>85</v>
      </c>
    </row>
    <row r="263" spans="1:17" x14ac:dyDescent="0.3">
      <c r="A263">
        <f t="shared" ref="A263:A284" si="9">A262+1</f>
        <v>259</v>
      </c>
      <c r="B263">
        <v>52.397671892611946</v>
      </c>
      <c r="C263">
        <v>5.8272794343682754</v>
      </c>
      <c r="D263">
        <v>36.762574034224819</v>
      </c>
      <c r="E263">
        <v>2.41</v>
      </c>
      <c r="F263">
        <v>4.3139665949380062</v>
      </c>
      <c r="G263">
        <v>0.21</v>
      </c>
      <c r="H263">
        <v>850</v>
      </c>
      <c r="I263">
        <v>3</v>
      </c>
      <c r="J263">
        <v>0</v>
      </c>
      <c r="K263">
        <v>21.593125453937112</v>
      </c>
      <c r="L263">
        <v>36.796448477627457</v>
      </c>
      <c r="M263">
        <v>26.550730787749192</v>
      </c>
      <c r="N263">
        <v>8.5931825786076299</v>
      </c>
      <c r="P263" t="s">
        <v>84</v>
      </c>
      <c r="Q263" t="s">
        <v>92</v>
      </c>
    </row>
    <row r="264" spans="1:17" x14ac:dyDescent="0.3">
      <c r="A264">
        <f t="shared" si="9"/>
        <v>260</v>
      </c>
      <c r="B264">
        <v>47.5</v>
      </c>
      <c r="C264">
        <v>6.2</v>
      </c>
      <c r="D264">
        <v>46.21</v>
      </c>
      <c r="E264">
        <v>4.5999999999999996</v>
      </c>
      <c r="F264">
        <v>0.3</v>
      </c>
      <c r="G264">
        <v>0.22</v>
      </c>
      <c r="H264">
        <v>816</v>
      </c>
      <c r="I264">
        <v>1</v>
      </c>
      <c r="J264">
        <v>0</v>
      </c>
      <c r="K264">
        <v>30.02</v>
      </c>
      <c r="L264">
        <v>28.57</v>
      </c>
      <c r="M264">
        <v>33.130000000000003</v>
      </c>
      <c r="N264">
        <v>8.2799999999999994</v>
      </c>
      <c r="P264" s="8" t="s">
        <v>87</v>
      </c>
      <c r="Q264" t="s">
        <v>93</v>
      </c>
    </row>
    <row r="265" spans="1:17" x14ac:dyDescent="0.3">
      <c r="A265">
        <f t="shared" si="9"/>
        <v>261</v>
      </c>
      <c r="B265">
        <v>47.5</v>
      </c>
      <c r="C265">
        <v>6.2</v>
      </c>
      <c r="D265">
        <v>46.21</v>
      </c>
      <c r="E265">
        <v>4.5999999999999996</v>
      </c>
      <c r="F265">
        <v>0.3</v>
      </c>
      <c r="G265">
        <v>0.24</v>
      </c>
      <c r="H265">
        <v>802</v>
      </c>
      <c r="I265">
        <v>1</v>
      </c>
      <c r="J265">
        <v>0</v>
      </c>
      <c r="K265">
        <v>27.96</v>
      </c>
      <c r="L265">
        <v>26.73</v>
      </c>
      <c r="M265">
        <v>35.049999999999997</v>
      </c>
      <c r="N265">
        <v>7.65</v>
      </c>
      <c r="P265" s="8" t="s">
        <v>87</v>
      </c>
      <c r="Q265" t="s">
        <v>94</v>
      </c>
    </row>
    <row r="266" spans="1:17" x14ac:dyDescent="0.3">
      <c r="A266">
        <f t="shared" si="9"/>
        <v>262</v>
      </c>
      <c r="B266">
        <v>47.5</v>
      </c>
      <c r="C266">
        <v>6.2</v>
      </c>
      <c r="D266">
        <v>46.21</v>
      </c>
      <c r="E266">
        <v>4.5999999999999996</v>
      </c>
      <c r="F266">
        <v>0.3</v>
      </c>
      <c r="G266">
        <v>0.25</v>
      </c>
      <c r="H266">
        <v>854</v>
      </c>
      <c r="I266">
        <v>1</v>
      </c>
      <c r="J266">
        <v>0</v>
      </c>
      <c r="K266">
        <v>31.46</v>
      </c>
      <c r="L266">
        <v>28.99</v>
      </c>
      <c r="M266">
        <v>32.700000000000003</v>
      </c>
      <c r="N266">
        <v>7.15</v>
      </c>
      <c r="P266" s="8" t="s">
        <v>87</v>
      </c>
      <c r="Q266" t="s">
        <v>95</v>
      </c>
    </row>
    <row r="267" spans="1:17" x14ac:dyDescent="0.3">
      <c r="A267">
        <f t="shared" si="9"/>
        <v>263</v>
      </c>
      <c r="B267">
        <v>47.5</v>
      </c>
      <c r="C267">
        <v>6.2</v>
      </c>
      <c r="D267">
        <v>46.21</v>
      </c>
      <c r="E267">
        <v>4.5999999999999996</v>
      </c>
      <c r="F267">
        <v>0.3</v>
      </c>
      <c r="G267">
        <v>0.3</v>
      </c>
      <c r="H267">
        <v>833</v>
      </c>
      <c r="I267">
        <v>1</v>
      </c>
      <c r="J267">
        <v>0</v>
      </c>
      <c r="K267">
        <v>24.51</v>
      </c>
      <c r="L267">
        <v>23.53</v>
      </c>
      <c r="M267">
        <v>39.22</v>
      </c>
      <c r="N267">
        <v>6.27</v>
      </c>
      <c r="P267" s="8" t="s">
        <v>87</v>
      </c>
      <c r="Q267" t="s">
        <v>96</v>
      </c>
    </row>
    <row r="268" spans="1:17" x14ac:dyDescent="0.3">
      <c r="A268">
        <f t="shared" si="9"/>
        <v>264</v>
      </c>
      <c r="B268">
        <v>45.85</v>
      </c>
      <c r="C268">
        <v>6.13</v>
      </c>
      <c r="D268">
        <v>47.67</v>
      </c>
      <c r="E268">
        <v>14.6</v>
      </c>
      <c r="F268">
        <v>2.87</v>
      </c>
      <c r="G268">
        <v>0.22</v>
      </c>
      <c r="H268">
        <v>804</v>
      </c>
      <c r="I268">
        <v>1</v>
      </c>
      <c r="J268">
        <v>0</v>
      </c>
      <c r="K268">
        <v>27.05</v>
      </c>
      <c r="L268">
        <v>33.68</v>
      </c>
      <c r="M268">
        <v>33.68</v>
      </c>
      <c r="N268">
        <v>6.88</v>
      </c>
      <c r="P268" t="s">
        <v>88</v>
      </c>
      <c r="Q268" t="s">
        <v>97</v>
      </c>
    </row>
    <row r="269" spans="1:17" x14ac:dyDescent="0.3">
      <c r="A269">
        <f t="shared" si="9"/>
        <v>265</v>
      </c>
      <c r="B269">
        <v>45.85</v>
      </c>
      <c r="C269">
        <v>6.13</v>
      </c>
      <c r="D269">
        <v>47.67</v>
      </c>
      <c r="E269">
        <v>14.6</v>
      </c>
      <c r="F269">
        <v>2.87</v>
      </c>
      <c r="G269">
        <v>0.24</v>
      </c>
      <c r="H269">
        <v>798</v>
      </c>
      <c r="I269">
        <v>1</v>
      </c>
      <c r="J269">
        <v>0</v>
      </c>
      <c r="K269">
        <v>25.65</v>
      </c>
      <c r="L269">
        <v>32.299999999999997</v>
      </c>
      <c r="M269">
        <v>35.130000000000003</v>
      </c>
      <c r="N269">
        <v>6.37</v>
      </c>
      <c r="P269" t="s">
        <v>88</v>
      </c>
      <c r="Q269" t="s">
        <v>98</v>
      </c>
    </row>
    <row r="270" spans="1:17" x14ac:dyDescent="0.3">
      <c r="A270">
        <f t="shared" si="9"/>
        <v>266</v>
      </c>
      <c r="B270">
        <v>45.85</v>
      </c>
      <c r="C270">
        <v>6.13</v>
      </c>
      <c r="D270">
        <v>47.67</v>
      </c>
      <c r="E270">
        <v>14.6</v>
      </c>
      <c r="F270">
        <v>2.87</v>
      </c>
      <c r="G270">
        <v>0.25</v>
      </c>
      <c r="H270">
        <v>812</v>
      </c>
      <c r="I270">
        <v>1</v>
      </c>
      <c r="J270">
        <v>0</v>
      </c>
      <c r="K270">
        <v>29.32</v>
      </c>
      <c r="L270">
        <v>34.39</v>
      </c>
      <c r="M270">
        <v>31.32</v>
      </c>
      <c r="N270">
        <v>5.97</v>
      </c>
      <c r="P270" t="s">
        <v>88</v>
      </c>
      <c r="Q270" t="s">
        <v>99</v>
      </c>
    </row>
    <row r="271" spans="1:17" x14ac:dyDescent="0.3">
      <c r="A271">
        <f t="shared" si="9"/>
        <v>267</v>
      </c>
      <c r="B271">
        <v>45.85</v>
      </c>
      <c r="C271">
        <v>6.13</v>
      </c>
      <c r="D271">
        <v>47.67</v>
      </c>
      <c r="E271">
        <v>14.6</v>
      </c>
      <c r="F271">
        <v>2.87</v>
      </c>
      <c r="G271">
        <v>0.26</v>
      </c>
      <c r="H271">
        <v>810</v>
      </c>
      <c r="I271">
        <v>1</v>
      </c>
      <c r="J271">
        <v>0</v>
      </c>
      <c r="K271">
        <v>23.95</v>
      </c>
      <c r="L271">
        <v>30.24</v>
      </c>
      <c r="M271">
        <v>38.93</v>
      </c>
      <c r="N271">
        <v>5.63</v>
      </c>
      <c r="P271" t="s">
        <v>88</v>
      </c>
      <c r="Q271" t="s">
        <v>100</v>
      </c>
    </row>
    <row r="272" spans="1:17" x14ac:dyDescent="0.3">
      <c r="A272">
        <f t="shared" si="9"/>
        <v>268</v>
      </c>
      <c r="B272">
        <v>45.85</v>
      </c>
      <c r="C272">
        <v>6.13</v>
      </c>
      <c r="D272">
        <v>47.67</v>
      </c>
      <c r="E272">
        <v>14.6</v>
      </c>
      <c r="F272">
        <v>2.87</v>
      </c>
      <c r="G272">
        <v>0.28000000000000003</v>
      </c>
      <c r="H272">
        <v>818</v>
      </c>
      <c r="I272">
        <v>1</v>
      </c>
      <c r="J272">
        <v>0</v>
      </c>
      <c r="K272">
        <v>21.63</v>
      </c>
      <c r="L272">
        <v>27.89</v>
      </c>
      <c r="M272">
        <v>43.75</v>
      </c>
      <c r="N272">
        <v>5.14</v>
      </c>
      <c r="P272" t="s">
        <v>88</v>
      </c>
      <c r="Q272" t="s">
        <v>101</v>
      </c>
    </row>
    <row r="273" spans="1:17" x14ac:dyDescent="0.3">
      <c r="A273">
        <f t="shared" si="9"/>
        <v>269</v>
      </c>
      <c r="B273">
        <v>49.07</v>
      </c>
      <c r="C273">
        <v>6.45</v>
      </c>
      <c r="D273">
        <v>44.41</v>
      </c>
      <c r="E273">
        <v>19</v>
      </c>
      <c r="F273">
        <v>1.19</v>
      </c>
      <c r="G273">
        <v>0.17</v>
      </c>
      <c r="H273">
        <v>736</v>
      </c>
      <c r="I273">
        <v>1</v>
      </c>
      <c r="J273">
        <v>0</v>
      </c>
      <c r="K273">
        <v>33.49</v>
      </c>
      <c r="L273">
        <v>43.45</v>
      </c>
      <c r="M273">
        <v>19.64</v>
      </c>
      <c r="N273">
        <v>8.6300000000000008</v>
      </c>
      <c r="P273" t="s">
        <v>89</v>
      </c>
      <c r="Q273" t="s">
        <v>102</v>
      </c>
    </row>
    <row r="274" spans="1:17" x14ac:dyDescent="0.3">
      <c r="A274">
        <f t="shared" si="9"/>
        <v>270</v>
      </c>
      <c r="B274">
        <v>49.07</v>
      </c>
      <c r="C274">
        <v>6.45</v>
      </c>
      <c r="D274">
        <v>44.41</v>
      </c>
      <c r="E274">
        <v>19</v>
      </c>
      <c r="F274">
        <v>1.19</v>
      </c>
      <c r="G274">
        <v>0.18</v>
      </c>
      <c r="H274">
        <v>709</v>
      </c>
      <c r="I274">
        <v>1</v>
      </c>
      <c r="J274">
        <v>0</v>
      </c>
      <c r="K274">
        <v>31.98</v>
      </c>
      <c r="L274">
        <v>41.86</v>
      </c>
      <c r="M274">
        <v>21.79</v>
      </c>
      <c r="N274">
        <v>8.27</v>
      </c>
      <c r="P274" t="s">
        <v>89</v>
      </c>
      <c r="Q274" t="s">
        <v>103</v>
      </c>
    </row>
    <row r="275" spans="1:17" x14ac:dyDescent="0.3">
      <c r="A275">
        <f t="shared" si="9"/>
        <v>271</v>
      </c>
      <c r="B275">
        <v>49.07</v>
      </c>
      <c r="C275">
        <v>6.45</v>
      </c>
      <c r="D275">
        <v>44.41</v>
      </c>
      <c r="E275">
        <v>19</v>
      </c>
      <c r="F275">
        <v>1.19</v>
      </c>
      <c r="G275">
        <v>0.2</v>
      </c>
      <c r="H275">
        <v>719</v>
      </c>
      <c r="I275">
        <v>1</v>
      </c>
      <c r="J275">
        <v>0</v>
      </c>
      <c r="K275">
        <v>29.88</v>
      </c>
      <c r="L275">
        <v>39.729999999999997</v>
      </c>
      <c r="M275">
        <v>24.82</v>
      </c>
      <c r="N275">
        <v>7.8</v>
      </c>
      <c r="P275" t="s">
        <v>89</v>
      </c>
      <c r="Q275" t="s">
        <v>104</v>
      </c>
    </row>
    <row r="276" spans="1:17" x14ac:dyDescent="0.3">
      <c r="A276">
        <f t="shared" si="9"/>
        <v>272</v>
      </c>
      <c r="B276">
        <v>49.07</v>
      </c>
      <c r="C276">
        <v>6.45</v>
      </c>
      <c r="D276">
        <v>44.41</v>
      </c>
      <c r="E276">
        <v>19</v>
      </c>
      <c r="F276">
        <v>1.19</v>
      </c>
      <c r="G276">
        <v>0.25</v>
      </c>
      <c r="H276">
        <v>800</v>
      </c>
      <c r="I276">
        <v>1</v>
      </c>
      <c r="J276">
        <v>0</v>
      </c>
      <c r="K276">
        <v>26.5</v>
      </c>
      <c r="L276">
        <v>37.04</v>
      </c>
      <c r="M276">
        <v>30.31</v>
      </c>
      <c r="N276">
        <v>7</v>
      </c>
      <c r="P276" t="s">
        <v>89</v>
      </c>
      <c r="Q276" t="s">
        <v>105</v>
      </c>
    </row>
    <row r="277" spans="1:17" x14ac:dyDescent="0.3">
      <c r="A277">
        <f t="shared" si="9"/>
        <v>273</v>
      </c>
      <c r="B277">
        <v>49.07</v>
      </c>
      <c r="C277">
        <v>6.45</v>
      </c>
      <c r="D277">
        <v>44.41</v>
      </c>
      <c r="E277">
        <v>19</v>
      </c>
      <c r="F277">
        <v>1.19</v>
      </c>
      <c r="G277">
        <v>0.35</v>
      </c>
      <c r="H277">
        <v>813</v>
      </c>
      <c r="I277">
        <v>1</v>
      </c>
      <c r="J277">
        <v>0</v>
      </c>
      <c r="K277">
        <v>23.11</v>
      </c>
      <c r="L277">
        <v>33.909999999999997</v>
      </c>
      <c r="M277">
        <v>36.97</v>
      </c>
      <c r="N277">
        <v>6.22</v>
      </c>
      <c r="P277" t="s">
        <v>89</v>
      </c>
      <c r="Q277" t="s">
        <v>106</v>
      </c>
    </row>
    <row r="278" spans="1:17" x14ac:dyDescent="0.3">
      <c r="A278">
        <f t="shared" si="9"/>
        <v>274</v>
      </c>
      <c r="B278">
        <v>50.8</v>
      </c>
      <c r="C278">
        <v>6.5</v>
      </c>
      <c r="D278">
        <v>42.45</v>
      </c>
      <c r="E278">
        <v>16.8</v>
      </c>
      <c r="F278">
        <v>1.2</v>
      </c>
      <c r="G278">
        <v>0.23</v>
      </c>
      <c r="H278">
        <v>786</v>
      </c>
      <c r="I278">
        <v>1</v>
      </c>
      <c r="J278">
        <v>0</v>
      </c>
      <c r="K278">
        <v>28.13</v>
      </c>
      <c r="L278">
        <v>41.33</v>
      </c>
      <c r="M278">
        <v>24.59</v>
      </c>
      <c r="N278">
        <v>7.35</v>
      </c>
      <c r="P278" t="s">
        <v>90</v>
      </c>
      <c r="Q278" t="s">
        <v>107</v>
      </c>
    </row>
    <row r="279" spans="1:17" x14ac:dyDescent="0.3">
      <c r="A279">
        <f t="shared" si="9"/>
        <v>275</v>
      </c>
      <c r="B279">
        <v>50.8</v>
      </c>
      <c r="C279">
        <v>6.5</v>
      </c>
      <c r="D279">
        <v>42.45</v>
      </c>
      <c r="E279">
        <v>16.8</v>
      </c>
      <c r="F279">
        <v>1.2</v>
      </c>
      <c r="G279">
        <v>0.26</v>
      </c>
      <c r="H279">
        <v>811</v>
      </c>
      <c r="I279">
        <v>1</v>
      </c>
      <c r="J279">
        <v>0</v>
      </c>
      <c r="K279">
        <v>25.32</v>
      </c>
      <c r="L279">
        <v>38.71</v>
      </c>
      <c r="M279">
        <v>28.84</v>
      </c>
      <c r="N279">
        <v>6.76</v>
      </c>
      <c r="P279" t="s">
        <v>90</v>
      </c>
      <c r="Q279" t="s">
        <v>108</v>
      </c>
    </row>
    <row r="280" spans="1:17" x14ac:dyDescent="0.3">
      <c r="A280">
        <f t="shared" si="9"/>
        <v>276</v>
      </c>
      <c r="B280">
        <v>50.8</v>
      </c>
      <c r="C280">
        <v>6.5</v>
      </c>
      <c r="D280">
        <v>42.45</v>
      </c>
      <c r="E280">
        <v>16.8</v>
      </c>
      <c r="F280">
        <v>1.2</v>
      </c>
      <c r="G280">
        <v>0.3</v>
      </c>
      <c r="H280">
        <v>830</v>
      </c>
      <c r="I280">
        <v>1</v>
      </c>
      <c r="J280">
        <v>0</v>
      </c>
      <c r="K280">
        <v>22.95</v>
      </c>
      <c r="L280">
        <v>36.15</v>
      </c>
      <c r="M280">
        <v>33.869999999999997</v>
      </c>
      <c r="N280">
        <v>6.14</v>
      </c>
      <c r="P280" t="s">
        <v>90</v>
      </c>
      <c r="Q280" t="s">
        <v>109</v>
      </c>
    </row>
    <row r="281" spans="1:17" x14ac:dyDescent="0.3">
      <c r="A281">
        <f t="shared" si="9"/>
        <v>277</v>
      </c>
      <c r="B281">
        <v>50.57</v>
      </c>
      <c r="C281">
        <v>7.09</v>
      </c>
      <c r="D281">
        <v>41.36</v>
      </c>
      <c r="E281">
        <v>9.8000000000000007</v>
      </c>
      <c r="F281">
        <v>0.89</v>
      </c>
      <c r="G281">
        <v>0.27</v>
      </c>
      <c r="H281">
        <v>750</v>
      </c>
      <c r="I281">
        <v>1</v>
      </c>
      <c r="J281">
        <v>0</v>
      </c>
      <c r="K281">
        <v>29.87</v>
      </c>
      <c r="L281">
        <v>28.63</v>
      </c>
      <c r="M281">
        <v>33.200000000000003</v>
      </c>
      <c r="N281">
        <v>8.3000000000000007</v>
      </c>
      <c r="P281" t="s">
        <v>91</v>
      </c>
      <c r="Q281" t="s">
        <v>110</v>
      </c>
    </row>
    <row r="282" spans="1:17" x14ac:dyDescent="0.3">
      <c r="A282">
        <f t="shared" si="9"/>
        <v>278</v>
      </c>
      <c r="B282">
        <v>50.57</v>
      </c>
      <c r="C282">
        <v>7.09</v>
      </c>
      <c r="D282">
        <v>41.36</v>
      </c>
      <c r="E282">
        <v>9.8000000000000007</v>
      </c>
      <c r="F282">
        <v>0.89</v>
      </c>
      <c r="G282">
        <v>0.24</v>
      </c>
      <c r="H282">
        <v>770</v>
      </c>
      <c r="I282">
        <v>1</v>
      </c>
      <c r="J282">
        <v>0</v>
      </c>
      <c r="K282">
        <v>31.2</v>
      </c>
      <c r="L282">
        <v>29.07</v>
      </c>
      <c r="M282">
        <v>31.01</v>
      </c>
      <c r="N282">
        <v>8.91</v>
      </c>
      <c r="P282" t="s">
        <v>91</v>
      </c>
      <c r="Q282" t="s">
        <v>111</v>
      </c>
    </row>
    <row r="283" spans="1:17" x14ac:dyDescent="0.3">
      <c r="A283">
        <f t="shared" si="9"/>
        <v>279</v>
      </c>
      <c r="B283">
        <v>50.57</v>
      </c>
      <c r="C283">
        <v>7.09</v>
      </c>
      <c r="D283">
        <v>41.36</v>
      </c>
      <c r="E283">
        <v>9.8000000000000007</v>
      </c>
      <c r="F283">
        <v>0.89</v>
      </c>
      <c r="G283">
        <v>0.19</v>
      </c>
      <c r="H283">
        <v>790</v>
      </c>
      <c r="I283">
        <v>1</v>
      </c>
      <c r="J283">
        <v>0</v>
      </c>
      <c r="K283">
        <v>30.44</v>
      </c>
      <c r="L283">
        <v>29.7</v>
      </c>
      <c r="M283">
        <v>30.26</v>
      </c>
      <c r="N283">
        <v>9.7799999999999994</v>
      </c>
      <c r="P283" t="s">
        <v>91</v>
      </c>
      <c r="Q283" t="s">
        <v>112</v>
      </c>
    </row>
    <row r="284" spans="1:17" x14ac:dyDescent="0.3">
      <c r="A284">
        <f t="shared" si="9"/>
        <v>280</v>
      </c>
      <c r="B284">
        <v>50.57</v>
      </c>
      <c r="C284">
        <v>7.09</v>
      </c>
      <c r="D284">
        <v>41.36</v>
      </c>
      <c r="E284">
        <v>9.8000000000000007</v>
      </c>
      <c r="F284">
        <v>0.89</v>
      </c>
      <c r="G284">
        <v>0.32</v>
      </c>
      <c r="H284">
        <v>760</v>
      </c>
      <c r="I284">
        <v>1</v>
      </c>
      <c r="J284">
        <v>0</v>
      </c>
      <c r="K284">
        <v>31.47</v>
      </c>
      <c r="L284">
        <v>24.43</v>
      </c>
      <c r="M284">
        <v>35.200000000000003</v>
      </c>
      <c r="N284">
        <v>8.9</v>
      </c>
      <c r="P284" t="s">
        <v>91</v>
      </c>
      <c r="Q284" t="s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1"/>
  <sheetViews>
    <sheetView zoomScale="65" workbookViewId="0">
      <selection activeCell="P1" sqref="P1:P1048576"/>
    </sheetView>
  </sheetViews>
  <sheetFormatPr defaultRowHeight="14" x14ac:dyDescent="0.3"/>
  <cols>
    <col min="2" max="2" width="12.1640625" customWidth="1"/>
    <col min="3" max="3" width="11.75" customWidth="1"/>
    <col min="4" max="4" width="13.1640625" customWidth="1"/>
    <col min="5" max="5" width="16.5" customWidth="1"/>
    <col min="6" max="6" width="15.83203125" customWidth="1"/>
    <col min="7" max="7" width="10.08203125" customWidth="1"/>
    <col min="8" max="8" width="10.6640625" customWidth="1"/>
    <col min="9" max="9" width="13" customWidth="1"/>
    <col min="10" max="10" width="17" customWidth="1"/>
    <col min="11" max="11" width="13.25" customWidth="1"/>
    <col min="12" max="12" width="13.5" customWidth="1"/>
    <col min="13" max="13" width="14.58203125" customWidth="1"/>
    <col min="14" max="14" width="15.4140625" customWidth="1"/>
    <col min="15" max="15" width="14.33203125" customWidth="1"/>
  </cols>
  <sheetData>
    <row r="1" spans="1:17" x14ac:dyDescent="0.3">
      <c r="A1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114</v>
      </c>
      <c r="P1" s="1" t="s">
        <v>21</v>
      </c>
      <c r="Q1" s="1" t="s">
        <v>22</v>
      </c>
    </row>
    <row r="2" spans="1:17" x14ac:dyDescent="0.3">
      <c r="A2">
        <v>1</v>
      </c>
      <c r="B2">
        <v>50</v>
      </c>
      <c r="C2" s="5">
        <v>5.7</v>
      </c>
      <c r="D2" s="5">
        <v>44.1</v>
      </c>
      <c r="E2" s="5">
        <v>23.5</v>
      </c>
      <c r="F2" s="5">
        <v>0.85</v>
      </c>
      <c r="G2" s="5">
        <v>0.32</v>
      </c>
      <c r="H2" s="5">
        <v>800</v>
      </c>
      <c r="I2" s="5">
        <v>1</v>
      </c>
      <c r="J2" s="5">
        <v>0</v>
      </c>
      <c r="K2" s="5">
        <v>18.087855297157621</v>
      </c>
      <c r="L2" s="5">
        <v>36.175710594315241</v>
      </c>
      <c r="M2" s="5">
        <v>34.883720930232556</v>
      </c>
      <c r="N2" s="5">
        <v>7.7519379844961236</v>
      </c>
      <c r="O2" s="5">
        <v>2.2999999999999998</v>
      </c>
      <c r="P2" t="s">
        <v>23</v>
      </c>
      <c r="Q2" t="s">
        <v>24</v>
      </c>
    </row>
    <row r="3" spans="1:17" x14ac:dyDescent="0.3">
      <c r="A3">
        <f>A2+1</f>
        <v>2</v>
      </c>
      <c r="B3">
        <v>50</v>
      </c>
      <c r="C3" s="5">
        <v>5.7</v>
      </c>
      <c r="D3" s="5">
        <v>44.1</v>
      </c>
      <c r="E3" s="5">
        <v>21</v>
      </c>
      <c r="F3" s="5">
        <v>0.85</v>
      </c>
      <c r="G3" s="5">
        <v>0.37</v>
      </c>
      <c r="H3" s="5">
        <v>800</v>
      </c>
      <c r="I3" s="5">
        <v>1</v>
      </c>
      <c r="J3" s="5">
        <v>0</v>
      </c>
      <c r="K3" s="5">
        <v>22.781774580335728</v>
      </c>
      <c r="L3" s="5">
        <v>31.175059952038367</v>
      </c>
      <c r="M3" s="5">
        <v>35.97122302158273</v>
      </c>
      <c r="N3" s="5">
        <v>6.4748201438848918</v>
      </c>
      <c r="O3" s="5">
        <v>2.5</v>
      </c>
      <c r="P3" t="s">
        <v>23</v>
      </c>
      <c r="Q3" t="s">
        <v>24</v>
      </c>
    </row>
    <row r="4" spans="1:17" x14ac:dyDescent="0.3">
      <c r="A4">
        <f t="shared" ref="A4:A67" si="0">A3+1</f>
        <v>3</v>
      </c>
      <c r="B4">
        <v>50</v>
      </c>
      <c r="C4" s="5">
        <v>5.7</v>
      </c>
      <c r="D4" s="5">
        <v>44.1</v>
      </c>
      <c r="E4" s="5">
        <v>23</v>
      </c>
      <c r="F4" s="5">
        <v>0.85</v>
      </c>
      <c r="G4" s="5">
        <v>0.47</v>
      </c>
      <c r="H4" s="5">
        <v>810</v>
      </c>
      <c r="I4" s="5">
        <v>1</v>
      </c>
      <c r="J4" s="5">
        <v>0</v>
      </c>
      <c r="K4" s="5">
        <v>23.880597014925375</v>
      </c>
      <c r="L4" s="5">
        <v>29.850746268656717</v>
      </c>
      <c r="M4" s="5">
        <v>35.820895522388057</v>
      </c>
      <c r="N4" s="5">
        <v>7.1641791044776122</v>
      </c>
      <c r="O4" s="5">
        <v>2.5</v>
      </c>
      <c r="P4" t="s">
        <v>23</v>
      </c>
      <c r="Q4" t="s">
        <v>24</v>
      </c>
    </row>
    <row r="5" spans="1:17" x14ac:dyDescent="0.3">
      <c r="A5">
        <f t="shared" si="0"/>
        <v>4</v>
      </c>
      <c r="B5">
        <v>50</v>
      </c>
      <c r="C5" s="5">
        <v>5.7</v>
      </c>
      <c r="D5" s="5">
        <v>44.1</v>
      </c>
      <c r="E5" s="5">
        <v>22</v>
      </c>
      <c r="F5" s="5">
        <v>0.85</v>
      </c>
      <c r="G5" s="5">
        <v>0.26</v>
      </c>
      <c r="H5" s="5">
        <v>800</v>
      </c>
      <c r="I5" s="5">
        <v>1</v>
      </c>
      <c r="J5" s="5">
        <v>0</v>
      </c>
      <c r="K5" s="5">
        <v>20.383693045563547</v>
      </c>
      <c r="L5" s="5">
        <v>31.175059952038367</v>
      </c>
      <c r="M5" s="5">
        <v>35.97122302158273</v>
      </c>
      <c r="N5" s="5">
        <v>6.4748201438848918</v>
      </c>
      <c r="O5" s="5">
        <v>2.1</v>
      </c>
      <c r="P5" t="s">
        <v>23</v>
      </c>
      <c r="Q5" t="s">
        <v>24</v>
      </c>
    </row>
    <row r="6" spans="1:17" x14ac:dyDescent="0.3">
      <c r="A6">
        <f t="shared" si="0"/>
        <v>5</v>
      </c>
      <c r="B6">
        <v>50</v>
      </c>
      <c r="C6" s="5">
        <v>5.7</v>
      </c>
      <c r="D6" s="5">
        <v>44.1</v>
      </c>
      <c r="E6" s="5">
        <v>25</v>
      </c>
      <c r="F6" s="5">
        <v>0.85</v>
      </c>
      <c r="G6" s="5">
        <v>0.36</v>
      </c>
      <c r="H6" s="5">
        <v>790</v>
      </c>
      <c r="I6" s="5">
        <v>1</v>
      </c>
      <c r="J6" s="5">
        <v>0</v>
      </c>
      <c r="K6" s="5">
        <v>22.781774580335728</v>
      </c>
      <c r="L6" s="5">
        <v>31.175059952038367</v>
      </c>
      <c r="M6" s="5">
        <v>35.97122302158273</v>
      </c>
      <c r="N6" s="5">
        <v>6.4748201438848918</v>
      </c>
      <c r="O6" s="5">
        <v>2.4</v>
      </c>
      <c r="P6" t="s">
        <v>23</v>
      </c>
      <c r="Q6" t="s">
        <v>24</v>
      </c>
    </row>
    <row r="7" spans="1:17" x14ac:dyDescent="0.3">
      <c r="A7">
        <f t="shared" si="0"/>
        <v>6</v>
      </c>
      <c r="B7">
        <v>50</v>
      </c>
      <c r="C7" s="5">
        <v>5.7</v>
      </c>
      <c r="D7" s="5">
        <v>44.1</v>
      </c>
      <c r="E7" s="5">
        <v>19</v>
      </c>
      <c r="F7" s="5">
        <v>0.85</v>
      </c>
      <c r="G7" s="5">
        <v>0.32</v>
      </c>
      <c r="H7" s="5">
        <v>800</v>
      </c>
      <c r="I7" s="5">
        <v>1</v>
      </c>
      <c r="J7" s="5">
        <v>0</v>
      </c>
      <c r="K7" s="5">
        <v>17.272727272727273</v>
      </c>
      <c r="L7" s="5">
        <v>32.727272727272727</v>
      </c>
      <c r="M7" s="5">
        <v>24.545454545454547</v>
      </c>
      <c r="N7" s="5">
        <v>8.1818181818181817</v>
      </c>
      <c r="O7" s="5">
        <v>2.1</v>
      </c>
      <c r="P7" t="s">
        <v>23</v>
      </c>
      <c r="Q7" t="s">
        <v>24</v>
      </c>
    </row>
    <row r="8" spans="1:17" x14ac:dyDescent="0.3">
      <c r="A8">
        <f t="shared" si="0"/>
        <v>7</v>
      </c>
      <c r="B8" s="5">
        <v>45.889600000000002</v>
      </c>
      <c r="C8" s="5">
        <v>5.6372999999999998</v>
      </c>
      <c r="D8" s="5">
        <v>47.1753</v>
      </c>
      <c r="E8" s="5">
        <v>8.5</v>
      </c>
      <c r="F8" s="5">
        <v>1.1000000000000001</v>
      </c>
      <c r="G8" s="5">
        <v>0.32</v>
      </c>
      <c r="H8" s="5">
        <v>750</v>
      </c>
      <c r="I8" s="5">
        <v>1</v>
      </c>
      <c r="J8" s="5">
        <v>0</v>
      </c>
      <c r="K8" s="5">
        <v>14.709343374911743</v>
      </c>
      <c r="L8" s="5">
        <v>33.60790774299835</v>
      </c>
      <c r="M8" s="5">
        <v>40.127088726759233</v>
      </c>
      <c r="N8" s="5">
        <v>8.1666274417510003</v>
      </c>
      <c r="O8" s="5">
        <v>1.8907987866531848</v>
      </c>
      <c r="P8" t="s">
        <v>25</v>
      </c>
      <c r="Q8" t="s">
        <v>26</v>
      </c>
    </row>
    <row r="9" spans="1:17" x14ac:dyDescent="0.3">
      <c r="A9">
        <f t="shared" si="0"/>
        <v>8</v>
      </c>
      <c r="B9" s="5">
        <v>45.889600000000002</v>
      </c>
      <c r="C9" s="5">
        <v>5.6372999999999998</v>
      </c>
      <c r="D9" s="5">
        <v>47.1753</v>
      </c>
      <c r="E9" s="5">
        <v>8.5</v>
      </c>
      <c r="F9" s="5">
        <v>1.1000000000000001</v>
      </c>
      <c r="G9" s="5">
        <v>0.36</v>
      </c>
      <c r="H9" s="5">
        <v>776.5</v>
      </c>
      <c r="I9" s="5">
        <v>1</v>
      </c>
      <c r="J9" s="5">
        <v>0</v>
      </c>
      <c r="K9" s="5">
        <v>16.538981523208651</v>
      </c>
      <c r="L9" s="5">
        <v>29.044614691302385</v>
      </c>
      <c r="M9" s="5">
        <v>38.192879675529518</v>
      </c>
      <c r="N9" s="5">
        <v>7.5935105903560158</v>
      </c>
      <c r="O9" s="5">
        <v>2.1840242669362993</v>
      </c>
      <c r="P9" t="s">
        <v>25</v>
      </c>
      <c r="Q9" t="s">
        <v>26</v>
      </c>
    </row>
    <row r="10" spans="1:17" x14ac:dyDescent="0.3">
      <c r="A10">
        <f t="shared" si="0"/>
        <v>9</v>
      </c>
      <c r="B10" s="5">
        <v>45.889600000000002</v>
      </c>
      <c r="C10" s="5">
        <v>5.6372999999999998</v>
      </c>
      <c r="D10" s="5">
        <v>47.1753</v>
      </c>
      <c r="E10" s="5">
        <v>8.5</v>
      </c>
      <c r="F10" s="5">
        <v>1.1000000000000001</v>
      </c>
      <c r="G10" s="5">
        <v>0.38</v>
      </c>
      <c r="H10" s="5">
        <v>790.5</v>
      </c>
      <c r="I10" s="5">
        <v>1</v>
      </c>
      <c r="J10" s="5">
        <v>0</v>
      </c>
      <c r="K10" s="5">
        <v>19.158233670653175</v>
      </c>
      <c r="L10" s="5">
        <v>29.645814167433304</v>
      </c>
      <c r="M10" s="5">
        <v>37.396504139834413</v>
      </c>
      <c r="N10" s="5">
        <v>7.98068077276909</v>
      </c>
      <c r="O10" s="5">
        <v>2.3154701718907988</v>
      </c>
      <c r="P10" t="s">
        <v>25</v>
      </c>
      <c r="Q10" t="s">
        <v>26</v>
      </c>
    </row>
    <row r="11" spans="1:17" x14ac:dyDescent="0.3">
      <c r="A11">
        <f t="shared" si="0"/>
        <v>10</v>
      </c>
      <c r="B11" s="5">
        <v>45.889600000000002</v>
      </c>
      <c r="C11" s="5">
        <v>5.6372999999999998</v>
      </c>
      <c r="D11" s="5">
        <v>47.1753</v>
      </c>
      <c r="E11" s="5">
        <v>8.5</v>
      </c>
      <c r="F11" s="5">
        <v>1.1000000000000001</v>
      </c>
      <c r="G11" s="5">
        <v>0.41</v>
      </c>
      <c r="H11" s="5">
        <v>808.4</v>
      </c>
      <c r="I11" s="5">
        <v>1</v>
      </c>
      <c r="J11" s="5">
        <v>0</v>
      </c>
      <c r="K11" s="5">
        <v>16.642335766423358</v>
      </c>
      <c r="L11" s="5">
        <v>28.223844282238442</v>
      </c>
      <c r="M11" s="5">
        <v>40.778588807785894</v>
      </c>
      <c r="N11" s="5">
        <v>8.442822384428224</v>
      </c>
      <c r="O11" s="5">
        <v>2.3660262891809909</v>
      </c>
      <c r="P11" t="s">
        <v>25</v>
      </c>
      <c r="Q11" t="s">
        <v>26</v>
      </c>
    </row>
    <row r="12" spans="1:17" x14ac:dyDescent="0.3">
      <c r="A12">
        <f t="shared" si="0"/>
        <v>11</v>
      </c>
      <c r="B12" s="5">
        <v>45.889600000000002</v>
      </c>
      <c r="C12" s="5">
        <v>5.6372999999999998</v>
      </c>
      <c r="D12" s="5">
        <v>47.1753</v>
      </c>
      <c r="E12" s="5">
        <v>8.5</v>
      </c>
      <c r="F12" s="5">
        <v>1.1000000000000001</v>
      </c>
      <c r="G12" s="5">
        <v>0.43</v>
      </c>
      <c r="H12" s="5">
        <v>834.2</v>
      </c>
      <c r="I12" s="5">
        <v>1</v>
      </c>
      <c r="J12" s="5">
        <v>0</v>
      </c>
      <c r="K12" s="5">
        <v>12.235649546827796</v>
      </c>
      <c r="L12" s="5">
        <v>25.956696878147032</v>
      </c>
      <c r="M12" s="5">
        <v>40.181268882175225</v>
      </c>
      <c r="N12" s="5">
        <v>7.9808660624370598</v>
      </c>
      <c r="O12" s="5">
        <v>2.487360970677452</v>
      </c>
      <c r="P12" t="s">
        <v>25</v>
      </c>
      <c r="Q12" t="s">
        <v>26</v>
      </c>
    </row>
    <row r="13" spans="1:17" x14ac:dyDescent="0.3">
      <c r="A13">
        <f t="shared" si="0"/>
        <v>12</v>
      </c>
      <c r="B13">
        <v>50.54</v>
      </c>
      <c r="C13" s="5">
        <v>7.08</v>
      </c>
      <c r="D13" s="5">
        <v>41.11</v>
      </c>
      <c r="E13" s="5">
        <v>8</v>
      </c>
      <c r="F13" s="5">
        <v>0.55000000000000004</v>
      </c>
      <c r="G13" s="5">
        <v>0.22</v>
      </c>
      <c r="H13" s="5">
        <v>700</v>
      </c>
      <c r="I13" s="5">
        <v>1</v>
      </c>
      <c r="J13" s="5">
        <v>2.7</v>
      </c>
      <c r="K13" s="5">
        <v>21.4</v>
      </c>
      <c r="L13" s="5">
        <v>42.85</v>
      </c>
      <c r="M13" s="5">
        <v>20.48</v>
      </c>
      <c r="N13" s="5">
        <v>9.32</v>
      </c>
      <c r="O13" s="5">
        <v>1.5629440181869847</v>
      </c>
      <c r="P13" t="s">
        <v>23</v>
      </c>
      <c r="Q13" t="s">
        <v>27</v>
      </c>
    </row>
    <row r="14" spans="1:17" x14ac:dyDescent="0.3">
      <c r="A14">
        <f t="shared" si="0"/>
        <v>13</v>
      </c>
      <c r="B14">
        <v>50.54</v>
      </c>
      <c r="C14" s="5">
        <v>7.08</v>
      </c>
      <c r="D14" s="5">
        <v>41.11</v>
      </c>
      <c r="E14" s="5">
        <v>8</v>
      </c>
      <c r="F14" s="5">
        <v>0.55000000000000004</v>
      </c>
      <c r="G14" s="5">
        <v>0.22</v>
      </c>
      <c r="H14" s="5">
        <v>750</v>
      </c>
      <c r="I14" s="5">
        <v>1</v>
      </c>
      <c r="J14" s="5">
        <v>2.7</v>
      </c>
      <c r="K14" s="5">
        <v>28.2</v>
      </c>
      <c r="L14" s="5">
        <v>39.299999999999997</v>
      </c>
      <c r="M14" s="5">
        <v>19.5</v>
      </c>
      <c r="N14" s="5">
        <v>8.2799999999999994</v>
      </c>
      <c r="O14" s="5">
        <v>1.6503814457778652</v>
      </c>
      <c r="P14" t="s">
        <v>23</v>
      </c>
      <c r="Q14" t="s">
        <v>27</v>
      </c>
    </row>
    <row r="15" spans="1:17" x14ac:dyDescent="0.3">
      <c r="A15">
        <f t="shared" si="0"/>
        <v>14</v>
      </c>
      <c r="B15">
        <v>50.54</v>
      </c>
      <c r="C15" s="5">
        <v>7.08</v>
      </c>
      <c r="D15" s="5">
        <v>41.11</v>
      </c>
      <c r="E15" s="5">
        <v>8</v>
      </c>
      <c r="F15" s="5">
        <v>0.55000000000000004</v>
      </c>
      <c r="G15" s="5">
        <v>0.22</v>
      </c>
      <c r="H15" s="5">
        <v>800</v>
      </c>
      <c r="I15" s="5">
        <v>1</v>
      </c>
      <c r="J15" s="5">
        <v>2.7</v>
      </c>
      <c r="K15" s="5">
        <v>32.19</v>
      </c>
      <c r="L15" s="5">
        <v>37.700000000000003</v>
      </c>
      <c r="M15" s="5">
        <v>18.64</v>
      </c>
      <c r="N15" s="5">
        <v>7.6</v>
      </c>
      <c r="O15" s="5">
        <v>2.7652086475615887</v>
      </c>
      <c r="P15" t="s">
        <v>23</v>
      </c>
      <c r="Q15" t="s">
        <v>27</v>
      </c>
    </row>
    <row r="16" spans="1:17" x14ac:dyDescent="0.3">
      <c r="A16">
        <f t="shared" si="0"/>
        <v>15</v>
      </c>
      <c r="B16">
        <v>50.54</v>
      </c>
      <c r="C16" s="5">
        <v>7.08</v>
      </c>
      <c r="D16" s="5">
        <v>41.11</v>
      </c>
      <c r="E16" s="5">
        <v>8</v>
      </c>
      <c r="F16" s="5">
        <v>0.55000000000000004</v>
      </c>
      <c r="G16" s="5">
        <v>0.22</v>
      </c>
      <c r="H16" s="5">
        <v>850</v>
      </c>
      <c r="I16" s="5">
        <v>1</v>
      </c>
      <c r="J16" s="5">
        <v>2.7</v>
      </c>
      <c r="K16" s="5">
        <v>36.29</v>
      </c>
      <c r="L16" s="5">
        <v>34.56</v>
      </c>
      <c r="M16" s="5">
        <v>18.7</v>
      </c>
      <c r="N16" s="5">
        <v>7.3</v>
      </c>
      <c r="O16" s="5">
        <v>2.6777712199707087</v>
      </c>
      <c r="P16" t="s">
        <v>23</v>
      </c>
      <c r="Q16" t="s">
        <v>27</v>
      </c>
    </row>
    <row r="17" spans="1:17" x14ac:dyDescent="0.3">
      <c r="A17">
        <f t="shared" si="0"/>
        <v>16</v>
      </c>
      <c r="B17">
        <v>50.54</v>
      </c>
      <c r="C17" s="5">
        <v>7.08</v>
      </c>
      <c r="D17" s="5">
        <v>41.11</v>
      </c>
      <c r="E17" s="5">
        <v>8</v>
      </c>
      <c r="F17" s="5">
        <v>0.55000000000000004</v>
      </c>
      <c r="G17" s="5">
        <v>0.22</v>
      </c>
      <c r="H17" s="5">
        <v>900</v>
      </c>
      <c r="I17" s="5">
        <v>1</v>
      </c>
      <c r="J17" s="5">
        <v>2.7</v>
      </c>
      <c r="K17" s="5">
        <v>39.42</v>
      </c>
      <c r="L17" s="5">
        <v>33.35</v>
      </c>
      <c r="M17" s="5">
        <v>19.25</v>
      </c>
      <c r="N17" s="5">
        <v>6.13</v>
      </c>
      <c r="O17" s="5">
        <v>2.7652086475615887</v>
      </c>
      <c r="P17" t="s">
        <v>23</v>
      </c>
      <c r="Q17" t="s">
        <v>27</v>
      </c>
    </row>
    <row r="18" spans="1:17" x14ac:dyDescent="0.3">
      <c r="A18">
        <f t="shared" si="0"/>
        <v>17</v>
      </c>
      <c r="B18">
        <v>50.54</v>
      </c>
      <c r="C18" s="5">
        <v>7.08</v>
      </c>
      <c r="D18" s="5">
        <v>41.11</v>
      </c>
      <c r="E18" s="5">
        <v>8</v>
      </c>
      <c r="F18" s="5">
        <v>0.55000000000000004</v>
      </c>
      <c r="G18" s="5">
        <v>0.19</v>
      </c>
      <c r="H18" s="5">
        <v>800</v>
      </c>
      <c r="I18" s="5">
        <v>1</v>
      </c>
      <c r="J18" s="5">
        <v>1.56</v>
      </c>
      <c r="K18" s="5">
        <v>32.11</v>
      </c>
      <c r="L18" s="5">
        <v>37.92</v>
      </c>
      <c r="M18" s="5">
        <v>17.75</v>
      </c>
      <c r="N18" s="5">
        <v>7.79</v>
      </c>
      <c r="O18" s="5">
        <v>2.3280215096071868</v>
      </c>
      <c r="P18" t="s">
        <v>23</v>
      </c>
      <c r="Q18" t="s">
        <v>27</v>
      </c>
    </row>
    <row r="19" spans="1:17" x14ac:dyDescent="0.3">
      <c r="A19">
        <f t="shared" si="0"/>
        <v>18</v>
      </c>
      <c r="B19">
        <v>50.54</v>
      </c>
      <c r="C19" s="5">
        <v>7.08</v>
      </c>
      <c r="D19" s="5">
        <v>41.11</v>
      </c>
      <c r="E19" s="5">
        <v>8</v>
      </c>
      <c r="F19" s="5">
        <v>0.55000000000000004</v>
      </c>
      <c r="G19" s="5">
        <v>0.21</v>
      </c>
      <c r="H19" s="5">
        <v>800</v>
      </c>
      <c r="I19" s="5">
        <v>1</v>
      </c>
      <c r="J19" s="5">
        <v>1.56</v>
      </c>
      <c r="K19" s="5">
        <v>31.34</v>
      </c>
      <c r="L19" s="5">
        <v>39.39</v>
      </c>
      <c r="M19" s="5">
        <v>16.899999999999999</v>
      </c>
      <c r="N19" s="5">
        <v>8.11</v>
      </c>
      <c r="O19" s="5">
        <v>2.4591776509935075</v>
      </c>
      <c r="P19" t="s">
        <v>23</v>
      </c>
      <c r="Q19" t="s">
        <v>27</v>
      </c>
    </row>
    <row r="20" spans="1:17" x14ac:dyDescent="0.3">
      <c r="A20">
        <f t="shared" si="0"/>
        <v>19</v>
      </c>
      <c r="B20">
        <v>50.54</v>
      </c>
      <c r="C20" s="5">
        <v>7.08</v>
      </c>
      <c r="D20" s="5">
        <v>41.11</v>
      </c>
      <c r="E20" s="5">
        <v>8</v>
      </c>
      <c r="F20" s="5">
        <v>0.55000000000000004</v>
      </c>
      <c r="G20" s="5">
        <v>0.23</v>
      </c>
      <c r="H20" s="5">
        <v>800</v>
      </c>
      <c r="I20" s="5">
        <v>1</v>
      </c>
      <c r="J20" s="5">
        <v>1.56</v>
      </c>
      <c r="K20" s="5">
        <v>31.41</v>
      </c>
      <c r="L20" s="5">
        <v>39.96</v>
      </c>
      <c r="M20" s="5">
        <v>16.47</v>
      </c>
      <c r="N20" s="5">
        <v>7.59</v>
      </c>
      <c r="O20" s="5">
        <v>2.5138260432378075</v>
      </c>
      <c r="P20" t="s">
        <v>23</v>
      </c>
      <c r="Q20" t="s">
        <v>27</v>
      </c>
    </row>
    <row r="21" spans="1:17" x14ac:dyDescent="0.3">
      <c r="A21">
        <f t="shared" si="0"/>
        <v>20</v>
      </c>
      <c r="B21">
        <v>50.54</v>
      </c>
      <c r="C21" s="5">
        <v>7.08</v>
      </c>
      <c r="D21" s="5">
        <v>41.11</v>
      </c>
      <c r="E21" s="5">
        <v>8</v>
      </c>
      <c r="F21" s="5">
        <v>0.55000000000000004</v>
      </c>
      <c r="G21" s="5">
        <v>0.25</v>
      </c>
      <c r="H21" s="5">
        <v>800</v>
      </c>
      <c r="I21" s="5">
        <v>1</v>
      </c>
      <c r="J21" s="5">
        <v>1.56</v>
      </c>
      <c r="K21" s="5">
        <v>30.98</v>
      </c>
      <c r="L21" s="5">
        <v>39.6</v>
      </c>
      <c r="M21" s="5">
        <v>18.03</v>
      </c>
      <c r="N21" s="5">
        <v>7.24</v>
      </c>
      <c r="O21" s="5">
        <v>2.3826699018514872</v>
      </c>
      <c r="P21" t="s">
        <v>23</v>
      </c>
      <c r="Q21" t="s">
        <v>27</v>
      </c>
    </row>
    <row r="22" spans="1:17" x14ac:dyDescent="0.3">
      <c r="A22">
        <f t="shared" si="0"/>
        <v>21</v>
      </c>
      <c r="B22">
        <v>50.54</v>
      </c>
      <c r="C22" s="5">
        <v>7.08</v>
      </c>
      <c r="D22" s="5">
        <v>41.11</v>
      </c>
      <c r="E22" s="5">
        <v>8</v>
      </c>
      <c r="F22" s="5">
        <v>0.55000000000000004</v>
      </c>
      <c r="G22" s="5">
        <v>0.27</v>
      </c>
      <c r="H22" s="5">
        <v>800</v>
      </c>
      <c r="I22" s="5">
        <v>1</v>
      </c>
      <c r="J22" s="5">
        <v>1.56</v>
      </c>
      <c r="K22" s="5">
        <v>31.88</v>
      </c>
      <c r="L22" s="5">
        <v>38.020000000000003</v>
      </c>
      <c r="M22" s="5">
        <v>19.93</v>
      </c>
      <c r="N22" s="5">
        <v>6.56</v>
      </c>
      <c r="O22" s="5">
        <v>2.0547795483856861</v>
      </c>
      <c r="P22" t="s">
        <v>23</v>
      </c>
      <c r="Q22" t="s">
        <v>27</v>
      </c>
    </row>
    <row r="23" spans="1:17" x14ac:dyDescent="0.3">
      <c r="A23">
        <f t="shared" si="0"/>
        <v>22</v>
      </c>
      <c r="B23">
        <v>50.54</v>
      </c>
      <c r="C23" s="5">
        <v>7.08</v>
      </c>
      <c r="D23" s="5">
        <v>41.11</v>
      </c>
      <c r="E23" s="5">
        <v>8</v>
      </c>
      <c r="F23" s="5">
        <v>0.55000000000000004</v>
      </c>
      <c r="G23" s="5">
        <v>0.22</v>
      </c>
      <c r="H23" s="5">
        <v>800</v>
      </c>
      <c r="I23" s="5">
        <v>1</v>
      </c>
      <c r="J23" s="5">
        <v>0</v>
      </c>
      <c r="K23" s="5">
        <v>33.5</v>
      </c>
      <c r="L23" s="5">
        <v>42.99</v>
      </c>
      <c r="M23" s="5">
        <v>15.97</v>
      </c>
      <c r="N23" s="5">
        <v>6.12</v>
      </c>
      <c r="O23" s="5">
        <v>1.5957330535335648</v>
      </c>
      <c r="P23" t="s">
        <v>23</v>
      </c>
      <c r="Q23" t="s">
        <v>27</v>
      </c>
    </row>
    <row r="24" spans="1:17" x14ac:dyDescent="0.3">
      <c r="A24">
        <f t="shared" si="0"/>
        <v>23</v>
      </c>
      <c r="B24">
        <v>50.54</v>
      </c>
      <c r="C24" s="5">
        <v>7.08</v>
      </c>
      <c r="D24" s="5">
        <v>41.11</v>
      </c>
      <c r="E24" s="5">
        <v>8</v>
      </c>
      <c r="F24" s="5">
        <v>0.55000000000000004</v>
      </c>
      <c r="G24" s="5">
        <v>0.22</v>
      </c>
      <c r="H24" s="5">
        <v>800</v>
      </c>
      <c r="I24" s="5">
        <v>1</v>
      </c>
      <c r="J24" s="5">
        <v>1.35</v>
      </c>
      <c r="K24" s="5">
        <v>29.85</v>
      </c>
      <c r="L24" s="5">
        <v>40.53</v>
      </c>
      <c r="M24" s="5">
        <v>16.98</v>
      </c>
      <c r="N24" s="5">
        <v>8.49</v>
      </c>
      <c r="O24" s="5">
        <v>2.6121931492775481</v>
      </c>
      <c r="P24" t="s">
        <v>23</v>
      </c>
      <c r="Q24" t="s">
        <v>27</v>
      </c>
    </row>
    <row r="25" spans="1:17" x14ac:dyDescent="0.3">
      <c r="A25">
        <f t="shared" si="0"/>
        <v>24</v>
      </c>
      <c r="B25">
        <v>50.54</v>
      </c>
      <c r="C25" s="5">
        <v>7.08</v>
      </c>
      <c r="D25" s="5">
        <v>41.11</v>
      </c>
      <c r="E25" s="5">
        <v>8</v>
      </c>
      <c r="F25" s="5">
        <v>0.55000000000000004</v>
      </c>
      <c r="G25" s="5">
        <v>0.22</v>
      </c>
      <c r="H25" s="5">
        <v>800</v>
      </c>
      <c r="I25" s="5">
        <v>1</v>
      </c>
      <c r="J25" s="5">
        <v>2.02</v>
      </c>
      <c r="K25" s="5">
        <v>30.94</v>
      </c>
      <c r="L25" s="5">
        <v>39.340000000000003</v>
      </c>
      <c r="M25" s="5">
        <v>17.34</v>
      </c>
      <c r="N25" s="5">
        <v>8.2200000000000006</v>
      </c>
      <c r="O25" s="5">
        <v>2.5575447570332477</v>
      </c>
      <c r="P25" t="s">
        <v>23</v>
      </c>
      <c r="Q25" t="s">
        <v>27</v>
      </c>
    </row>
    <row r="26" spans="1:17" x14ac:dyDescent="0.3">
      <c r="A26">
        <f t="shared" si="0"/>
        <v>25</v>
      </c>
      <c r="B26">
        <v>50.54</v>
      </c>
      <c r="C26" s="5">
        <v>7.08</v>
      </c>
      <c r="D26" s="5">
        <v>41.11</v>
      </c>
      <c r="E26" s="5">
        <v>8</v>
      </c>
      <c r="F26" s="5">
        <v>0.55000000000000004</v>
      </c>
      <c r="G26" s="5">
        <v>0.22</v>
      </c>
      <c r="H26" s="5">
        <v>800</v>
      </c>
      <c r="I26" s="5">
        <v>1</v>
      </c>
      <c r="J26" s="5">
        <v>2.7</v>
      </c>
      <c r="K26" s="5">
        <v>32.22</v>
      </c>
      <c r="L26" s="5">
        <v>37.700000000000003</v>
      </c>
      <c r="M26" s="5">
        <v>18.71</v>
      </c>
      <c r="N26" s="5">
        <v>7.76</v>
      </c>
      <c r="O26" s="5">
        <v>2.4373182940957876</v>
      </c>
      <c r="P26" t="s">
        <v>23</v>
      </c>
      <c r="Q26" t="s">
        <v>27</v>
      </c>
    </row>
    <row r="27" spans="1:17" x14ac:dyDescent="0.3">
      <c r="A27">
        <f t="shared" si="0"/>
        <v>26</v>
      </c>
      <c r="B27">
        <v>50.54</v>
      </c>
      <c r="C27" s="5">
        <v>7.08</v>
      </c>
      <c r="D27" s="5">
        <v>41.11</v>
      </c>
      <c r="E27" s="5">
        <v>8</v>
      </c>
      <c r="F27" s="5">
        <v>0.55000000000000004</v>
      </c>
      <c r="G27" s="5">
        <v>0.22</v>
      </c>
      <c r="H27" s="5">
        <v>800</v>
      </c>
      <c r="I27" s="5">
        <v>1</v>
      </c>
      <c r="J27" s="5">
        <v>4.04</v>
      </c>
      <c r="K27" s="5">
        <v>31.86</v>
      </c>
      <c r="L27" s="5">
        <v>37.42</v>
      </c>
      <c r="M27" s="5">
        <v>19.62</v>
      </c>
      <c r="N27" s="5">
        <v>7.48</v>
      </c>
      <c r="O27" s="5">
        <v>2.1312872975277068</v>
      </c>
      <c r="P27" t="s">
        <v>23</v>
      </c>
      <c r="Q27" t="s">
        <v>27</v>
      </c>
    </row>
    <row r="28" spans="1:17" x14ac:dyDescent="0.3">
      <c r="A28">
        <f t="shared" si="0"/>
        <v>27</v>
      </c>
      <c r="B28">
        <v>49.47</v>
      </c>
      <c r="C28" s="5">
        <v>5.79</v>
      </c>
      <c r="D28" s="5">
        <v>41.94</v>
      </c>
      <c r="E28" s="5">
        <v>6.28</v>
      </c>
      <c r="F28" s="5">
        <v>0.71</v>
      </c>
      <c r="G28" s="5">
        <v>0.19</v>
      </c>
      <c r="H28" s="5">
        <v>780</v>
      </c>
      <c r="I28" s="5">
        <v>2</v>
      </c>
      <c r="J28" s="5">
        <v>0</v>
      </c>
      <c r="K28" s="5">
        <v>25.581395348837205</v>
      </c>
      <c r="L28" s="5">
        <v>35.271317829457359</v>
      </c>
      <c r="M28" s="5">
        <v>27.519379844961236</v>
      </c>
      <c r="N28" s="5">
        <v>11.627906976744184</v>
      </c>
      <c r="O28" s="5">
        <v>1.1689965013318637</v>
      </c>
      <c r="P28" t="s">
        <v>28</v>
      </c>
      <c r="Q28" t="s">
        <v>29</v>
      </c>
    </row>
    <row r="29" spans="1:17" x14ac:dyDescent="0.3">
      <c r="A29">
        <f t="shared" si="0"/>
        <v>28</v>
      </c>
      <c r="B29">
        <v>49.47</v>
      </c>
      <c r="C29" s="5">
        <v>5.79</v>
      </c>
      <c r="D29" s="5">
        <v>41.94</v>
      </c>
      <c r="E29" s="5">
        <v>6.28</v>
      </c>
      <c r="F29" s="5">
        <v>0.71</v>
      </c>
      <c r="G29" s="5">
        <v>0.23</v>
      </c>
      <c r="H29" s="5">
        <v>752</v>
      </c>
      <c r="I29" s="5">
        <v>2</v>
      </c>
      <c r="J29" s="5">
        <v>0.18</v>
      </c>
      <c r="K29" s="5">
        <v>28.910891089108915</v>
      </c>
      <c r="L29" s="5">
        <v>27.32673267326733</v>
      </c>
      <c r="M29" s="5">
        <v>33.465346534653463</v>
      </c>
      <c r="N29" s="5">
        <v>10.297029702970299</v>
      </c>
      <c r="O29" s="5">
        <v>1.4246630007262893</v>
      </c>
      <c r="P29" t="s">
        <v>28</v>
      </c>
      <c r="Q29" t="s">
        <v>29</v>
      </c>
    </row>
    <row r="30" spans="1:17" x14ac:dyDescent="0.3">
      <c r="A30">
        <f t="shared" si="0"/>
        <v>29</v>
      </c>
      <c r="B30">
        <v>49.47</v>
      </c>
      <c r="C30" s="5">
        <v>5.79</v>
      </c>
      <c r="D30" s="5">
        <v>41.94</v>
      </c>
      <c r="E30" s="5">
        <v>6.28</v>
      </c>
      <c r="F30" s="5">
        <v>0.71</v>
      </c>
      <c r="G30" s="5">
        <v>0.19</v>
      </c>
      <c r="H30" s="5">
        <v>727</v>
      </c>
      <c r="I30" s="5">
        <v>2</v>
      </c>
      <c r="J30" s="5">
        <v>0.28000000000000003</v>
      </c>
      <c r="K30" s="5">
        <v>31.034482758620687</v>
      </c>
      <c r="L30" s="5">
        <v>22.030651340996169</v>
      </c>
      <c r="M30" s="5">
        <v>35.632183908045981</v>
      </c>
      <c r="N30" s="5">
        <v>11.302681992337163</v>
      </c>
      <c r="O30" s="5">
        <v>1.4684844411936557</v>
      </c>
      <c r="P30" t="s">
        <v>28</v>
      </c>
      <c r="Q30" t="s">
        <v>29</v>
      </c>
    </row>
    <row r="31" spans="1:17" x14ac:dyDescent="0.3">
      <c r="A31">
        <f t="shared" si="0"/>
        <v>30</v>
      </c>
      <c r="B31">
        <v>49.47</v>
      </c>
      <c r="C31" s="5">
        <v>5.79</v>
      </c>
      <c r="D31" s="5">
        <v>41.94</v>
      </c>
      <c r="E31" s="5">
        <v>6.28</v>
      </c>
      <c r="F31" s="5">
        <v>0.71</v>
      </c>
      <c r="G31" s="5">
        <v>0.27</v>
      </c>
      <c r="H31" s="5">
        <v>805</v>
      </c>
      <c r="I31" s="5">
        <v>2</v>
      </c>
      <c r="J31" s="5">
        <v>0</v>
      </c>
      <c r="K31" s="5">
        <v>25.049701789264418</v>
      </c>
      <c r="L31" s="5">
        <v>34.990059642147131</v>
      </c>
      <c r="M31" s="5">
        <v>29.622266401590462</v>
      </c>
      <c r="N31" s="5">
        <v>10.337972166998014</v>
      </c>
      <c r="O31" s="5">
        <v>1.5331502694597567</v>
      </c>
      <c r="P31" t="s">
        <v>28</v>
      </c>
      <c r="Q31" t="s">
        <v>29</v>
      </c>
    </row>
    <row r="32" spans="1:17" x14ac:dyDescent="0.3">
      <c r="A32">
        <f t="shared" si="0"/>
        <v>31</v>
      </c>
      <c r="B32">
        <v>49.47</v>
      </c>
      <c r="C32" s="5">
        <v>5.79</v>
      </c>
      <c r="D32" s="5">
        <v>41.94</v>
      </c>
      <c r="E32" s="5">
        <v>6.28</v>
      </c>
      <c r="F32" s="5">
        <v>0.71</v>
      </c>
      <c r="G32" s="5">
        <v>0.27</v>
      </c>
      <c r="H32" s="5">
        <v>786</v>
      </c>
      <c r="I32" s="5">
        <v>2</v>
      </c>
      <c r="J32" s="5">
        <v>0.23</v>
      </c>
      <c r="K32" s="5">
        <v>28.056112224448896</v>
      </c>
      <c r="L32" s="5">
        <v>30.060120240480959</v>
      </c>
      <c r="M32" s="5">
        <v>32.464929859719433</v>
      </c>
      <c r="N32" s="5">
        <v>9.4188376753506997</v>
      </c>
      <c r="O32" s="5">
        <v>1.8555416812620422</v>
      </c>
      <c r="P32" t="s">
        <v>28</v>
      </c>
      <c r="Q32" t="s">
        <v>29</v>
      </c>
    </row>
    <row r="33" spans="1:17" x14ac:dyDescent="0.3">
      <c r="A33">
        <f t="shared" si="0"/>
        <v>32</v>
      </c>
      <c r="B33">
        <v>49.47</v>
      </c>
      <c r="C33" s="5">
        <v>5.79</v>
      </c>
      <c r="D33" s="5">
        <v>41.94</v>
      </c>
      <c r="E33" s="5">
        <v>6.28</v>
      </c>
      <c r="F33" s="5">
        <v>0.71</v>
      </c>
      <c r="G33" s="5">
        <v>0.27</v>
      </c>
      <c r="H33" s="5">
        <v>755</v>
      </c>
      <c r="I33" s="5">
        <v>2</v>
      </c>
      <c r="J33" s="5">
        <v>0.43</v>
      </c>
      <c r="K33" s="5">
        <v>31.15384615384615</v>
      </c>
      <c r="L33" s="5">
        <v>22.884615384615383</v>
      </c>
      <c r="M33" s="5">
        <v>35.769230769230766</v>
      </c>
      <c r="N33" s="5">
        <v>10.192307692307692</v>
      </c>
      <c r="O33" s="5">
        <v>1.8985272028356803</v>
      </c>
      <c r="P33" t="s">
        <v>28</v>
      </c>
      <c r="Q33" t="s">
        <v>29</v>
      </c>
    </row>
    <row r="34" spans="1:17" x14ac:dyDescent="0.3">
      <c r="A34">
        <f t="shared" si="0"/>
        <v>33</v>
      </c>
      <c r="B34">
        <v>49.47</v>
      </c>
      <c r="C34" s="5">
        <v>5.79</v>
      </c>
      <c r="D34" s="5">
        <v>41.94</v>
      </c>
      <c r="E34" s="5">
        <v>6.28</v>
      </c>
      <c r="F34" s="5">
        <v>0.71</v>
      </c>
      <c r="G34" s="5">
        <v>0.35</v>
      </c>
      <c r="H34" s="5">
        <v>812</v>
      </c>
      <c r="I34" s="5">
        <v>2</v>
      </c>
      <c r="J34" s="5">
        <v>0</v>
      </c>
      <c r="K34" s="5">
        <v>19.463087248322143</v>
      </c>
      <c r="L34" s="5">
        <v>35.34675615212528</v>
      </c>
      <c r="M34" s="5">
        <v>33.780760626398205</v>
      </c>
      <c r="N34" s="5">
        <v>11.409395973154361</v>
      </c>
      <c r="O34" s="5">
        <v>2.1773101144907967</v>
      </c>
      <c r="P34" t="s">
        <v>28</v>
      </c>
      <c r="Q34" t="s">
        <v>29</v>
      </c>
    </row>
    <row r="35" spans="1:17" x14ac:dyDescent="0.3">
      <c r="A35">
        <f t="shared" si="0"/>
        <v>34</v>
      </c>
      <c r="B35">
        <v>49.47</v>
      </c>
      <c r="C35" s="5">
        <v>5.79</v>
      </c>
      <c r="D35" s="5">
        <v>41.94</v>
      </c>
      <c r="E35" s="5">
        <v>6.28</v>
      </c>
      <c r="F35" s="5">
        <v>0.71</v>
      </c>
      <c r="G35" s="5">
        <v>0.33</v>
      </c>
      <c r="H35" s="5">
        <v>804</v>
      </c>
      <c r="I35" s="5">
        <v>2</v>
      </c>
      <c r="J35" s="5">
        <v>0.22</v>
      </c>
      <c r="K35" s="5">
        <v>24.791666666666664</v>
      </c>
      <c r="L35" s="5">
        <v>32.083333333333329</v>
      </c>
      <c r="M35" s="5">
        <v>33.124999999999993</v>
      </c>
      <c r="N35" s="5">
        <v>9.9999999999999982</v>
      </c>
      <c r="O35" s="5">
        <v>2.4047228257383582</v>
      </c>
      <c r="P35" t="s">
        <v>28</v>
      </c>
      <c r="Q35" t="s">
        <v>29</v>
      </c>
    </row>
    <row r="36" spans="1:17" x14ac:dyDescent="0.3">
      <c r="A36">
        <f t="shared" si="0"/>
        <v>35</v>
      </c>
      <c r="B36">
        <v>49.47</v>
      </c>
      <c r="C36" s="5">
        <v>5.79</v>
      </c>
      <c r="D36" s="5">
        <v>41.94</v>
      </c>
      <c r="E36" s="5">
        <v>6.28</v>
      </c>
      <c r="F36" s="5">
        <v>0.71</v>
      </c>
      <c r="G36" s="5">
        <v>0.33</v>
      </c>
      <c r="H36" s="5">
        <v>789</v>
      </c>
      <c r="I36" s="5">
        <v>2</v>
      </c>
      <c r="J36" s="5">
        <v>0.45</v>
      </c>
      <c r="K36" s="5">
        <v>27.310061601642712</v>
      </c>
      <c r="L36" s="5">
        <v>28.336755646817252</v>
      </c>
      <c r="M36" s="5">
        <v>34.907597535934293</v>
      </c>
      <c r="N36" s="5">
        <v>9.4455852156057496</v>
      </c>
      <c r="O36" s="5">
        <v>2.501616419449427</v>
      </c>
      <c r="P36" t="s">
        <v>28</v>
      </c>
      <c r="Q36" t="s">
        <v>29</v>
      </c>
    </row>
    <row r="37" spans="1:17" x14ac:dyDescent="0.3">
      <c r="A37">
        <f t="shared" si="0"/>
        <v>36</v>
      </c>
      <c r="B37">
        <v>49.47</v>
      </c>
      <c r="C37" s="5">
        <v>5.79</v>
      </c>
      <c r="D37" s="5">
        <v>41.94</v>
      </c>
      <c r="E37" s="5">
        <v>6.28</v>
      </c>
      <c r="F37" s="5">
        <v>0.71</v>
      </c>
      <c r="G37" s="5">
        <v>0.24</v>
      </c>
      <c r="H37" s="5">
        <v>785</v>
      </c>
      <c r="I37" s="5">
        <v>2</v>
      </c>
      <c r="J37" s="5">
        <v>0</v>
      </c>
      <c r="K37" s="5">
        <v>25.44031311154599</v>
      </c>
      <c r="L37" s="5">
        <v>34.833659491193742</v>
      </c>
      <c r="M37" s="5">
        <v>28.180039138943251</v>
      </c>
      <c r="N37" s="5">
        <v>11.545988258317026</v>
      </c>
      <c r="O37" s="5">
        <v>1.7470372594872448</v>
      </c>
      <c r="P37" t="s">
        <v>28</v>
      </c>
      <c r="Q37" t="s">
        <v>29</v>
      </c>
    </row>
    <row r="38" spans="1:17" x14ac:dyDescent="0.3">
      <c r="A38">
        <f t="shared" si="0"/>
        <v>37</v>
      </c>
      <c r="B38">
        <v>49.47</v>
      </c>
      <c r="C38" s="5">
        <v>5.79</v>
      </c>
      <c r="D38" s="5">
        <v>41.94</v>
      </c>
      <c r="E38" s="5">
        <v>6.28</v>
      </c>
      <c r="F38" s="5">
        <v>0.71</v>
      </c>
      <c r="G38" s="5">
        <v>0.3</v>
      </c>
      <c r="H38" s="5">
        <v>808</v>
      </c>
      <c r="I38" s="5">
        <v>2</v>
      </c>
      <c r="J38" s="5">
        <v>0</v>
      </c>
      <c r="K38" s="5">
        <v>21.343254356765225</v>
      </c>
      <c r="L38" s="5">
        <v>34.266692774623067</v>
      </c>
      <c r="M38" s="5">
        <v>28.979831603681223</v>
      </c>
      <c r="N38" s="5">
        <v>9.98629332289015</v>
      </c>
      <c r="O38" s="5">
        <v>2.0959252540337698</v>
      </c>
      <c r="P38" t="s">
        <v>28</v>
      </c>
      <c r="Q38" t="s">
        <v>29</v>
      </c>
    </row>
    <row r="39" spans="1:17" x14ac:dyDescent="0.3">
      <c r="A39">
        <f t="shared" si="0"/>
        <v>38</v>
      </c>
      <c r="B39">
        <v>49.47</v>
      </c>
      <c r="C39" s="5">
        <v>5.79</v>
      </c>
      <c r="D39" s="5">
        <v>41.94</v>
      </c>
      <c r="E39" s="5">
        <v>6.28</v>
      </c>
      <c r="F39" s="5">
        <v>0.71</v>
      </c>
      <c r="G39" s="5">
        <v>0.36</v>
      </c>
      <c r="H39" s="5">
        <v>813</v>
      </c>
      <c r="I39" s="5">
        <v>2</v>
      </c>
      <c r="J39" s="5">
        <v>0</v>
      </c>
      <c r="K39" s="5">
        <v>18.307129011415032</v>
      </c>
      <c r="L39" s="5">
        <v>34.245100150764586</v>
      </c>
      <c r="M39" s="5">
        <v>32.306698255438292</v>
      </c>
      <c r="N39" s="5">
        <v>10.553521430109843</v>
      </c>
      <c r="O39" s="5">
        <v>2.3027957985877521</v>
      </c>
      <c r="P39" t="s">
        <v>28</v>
      </c>
      <c r="Q39" t="s">
        <v>29</v>
      </c>
    </row>
    <row r="40" spans="1:17" x14ac:dyDescent="0.3">
      <c r="A40">
        <f t="shared" si="0"/>
        <v>39</v>
      </c>
      <c r="B40">
        <v>45.04</v>
      </c>
      <c r="C40" s="5">
        <v>6.4</v>
      </c>
      <c r="D40" s="5">
        <v>21.58</v>
      </c>
      <c r="E40" s="5">
        <v>6.91</v>
      </c>
      <c r="F40" s="5">
        <v>18.87</v>
      </c>
      <c r="G40" s="5">
        <v>0.42</v>
      </c>
      <c r="H40" s="5">
        <v>857</v>
      </c>
      <c r="I40" s="5">
        <v>2</v>
      </c>
      <c r="J40" s="5">
        <v>0</v>
      </c>
      <c r="K40" s="5">
        <v>5.5299539170506904</v>
      </c>
      <c r="L40" s="5">
        <v>27.188940092165897</v>
      </c>
      <c r="M40" s="5">
        <v>58.064516129032249</v>
      </c>
      <c r="N40" s="5">
        <v>9.2165898617511512</v>
      </c>
      <c r="O40" s="5">
        <v>3.3469897724952178</v>
      </c>
      <c r="P40" t="s">
        <v>30</v>
      </c>
      <c r="Q40" t="s">
        <v>29</v>
      </c>
    </row>
    <row r="41" spans="1:17" x14ac:dyDescent="0.3">
      <c r="A41">
        <f t="shared" si="0"/>
        <v>40</v>
      </c>
      <c r="B41">
        <v>45.04</v>
      </c>
      <c r="C41" s="5">
        <v>6.4</v>
      </c>
      <c r="D41" s="5">
        <v>21.58</v>
      </c>
      <c r="E41" s="5">
        <v>6.91</v>
      </c>
      <c r="F41" s="5">
        <v>18.87</v>
      </c>
      <c r="G41" s="5">
        <v>0.35</v>
      </c>
      <c r="H41" s="5">
        <v>850</v>
      </c>
      <c r="I41" s="5">
        <v>2</v>
      </c>
      <c r="J41" s="5">
        <v>0</v>
      </c>
      <c r="K41" s="5">
        <v>7.112970711297069</v>
      </c>
      <c r="L41" s="5">
        <v>25.52301255230125</v>
      </c>
      <c r="M41" s="5">
        <v>56.066945606694546</v>
      </c>
      <c r="N41" s="5">
        <v>11.29707112970711</v>
      </c>
      <c r="O41" s="5">
        <v>2.7394838607766854</v>
      </c>
      <c r="P41" t="s">
        <v>30</v>
      </c>
      <c r="Q41" t="s">
        <v>29</v>
      </c>
    </row>
    <row r="42" spans="1:17" x14ac:dyDescent="0.3">
      <c r="A42">
        <f t="shared" si="0"/>
        <v>41</v>
      </c>
      <c r="B42">
        <v>45.04</v>
      </c>
      <c r="C42" s="5">
        <v>6.4</v>
      </c>
      <c r="D42" s="5">
        <v>21.58</v>
      </c>
      <c r="E42" s="5">
        <v>6.91</v>
      </c>
      <c r="F42" s="5">
        <v>18.87</v>
      </c>
      <c r="G42" s="5">
        <v>0.31</v>
      </c>
      <c r="H42" s="5">
        <v>843</v>
      </c>
      <c r="I42" s="5">
        <v>2</v>
      </c>
      <c r="J42" s="5">
        <v>0</v>
      </c>
      <c r="K42" s="5">
        <v>7.7519379844961245</v>
      </c>
      <c r="L42" s="5">
        <v>25.193798449612405</v>
      </c>
      <c r="M42" s="5">
        <v>55.038759689922486</v>
      </c>
      <c r="N42" s="5">
        <v>12.015503875968994</v>
      </c>
      <c r="O42" s="5">
        <v>2.4550721682863279</v>
      </c>
      <c r="P42" t="s">
        <v>30</v>
      </c>
      <c r="Q42" t="s">
        <v>29</v>
      </c>
    </row>
    <row r="43" spans="1:17" x14ac:dyDescent="0.3">
      <c r="A43">
        <f t="shared" si="0"/>
        <v>42</v>
      </c>
      <c r="B43">
        <v>45.04</v>
      </c>
      <c r="C43" s="5">
        <v>6.4</v>
      </c>
      <c r="D43" s="5">
        <v>21.58</v>
      </c>
      <c r="E43" s="5">
        <v>6.91</v>
      </c>
      <c r="F43" s="5">
        <v>18.87</v>
      </c>
      <c r="G43" s="5">
        <v>0.28999999999999998</v>
      </c>
      <c r="H43" s="5">
        <v>832</v>
      </c>
      <c r="I43" s="5">
        <v>2</v>
      </c>
      <c r="J43" s="5">
        <v>0</v>
      </c>
      <c r="K43" s="5">
        <v>13.043478260869563</v>
      </c>
      <c r="L43" s="5">
        <v>26.086956521739125</v>
      </c>
      <c r="M43" s="5">
        <v>48.160535117056845</v>
      </c>
      <c r="N43" s="5">
        <v>12.709030100334445</v>
      </c>
      <c r="O43" s="5">
        <v>2.3885434446249003</v>
      </c>
      <c r="P43" t="s">
        <v>30</v>
      </c>
      <c r="Q43" t="s">
        <v>29</v>
      </c>
    </row>
    <row r="44" spans="1:17" x14ac:dyDescent="0.3">
      <c r="A44">
        <f t="shared" si="0"/>
        <v>43</v>
      </c>
      <c r="B44">
        <v>45.04</v>
      </c>
      <c r="C44" s="5">
        <v>6.4</v>
      </c>
      <c r="D44" s="5">
        <v>21.58</v>
      </c>
      <c r="E44" s="5">
        <v>6.91</v>
      </c>
      <c r="F44" s="5">
        <v>18.87</v>
      </c>
      <c r="G44" s="5">
        <v>0.25</v>
      </c>
      <c r="H44" s="5">
        <v>808</v>
      </c>
      <c r="I44" s="5">
        <v>2</v>
      </c>
      <c r="J44" s="5">
        <v>0</v>
      </c>
      <c r="K44" s="5">
        <v>21.311475409836063</v>
      </c>
      <c r="L44" s="5">
        <v>29.78142076502732</v>
      </c>
      <c r="M44" s="5">
        <v>37.704918032786885</v>
      </c>
      <c r="N44" s="5">
        <v>11.202185792349725</v>
      </c>
      <c r="O44" s="5">
        <v>2.1626703145353723</v>
      </c>
      <c r="P44" t="s">
        <v>30</v>
      </c>
      <c r="Q44" t="s">
        <v>29</v>
      </c>
    </row>
    <row r="45" spans="1:17" x14ac:dyDescent="0.3">
      <c r="A45">
        <f t="shared" si="0"/>
        <v>44</v>
      </c>
      <c r="B45">
        <v>46.4</v>
      </c>
      <c r="C45" s="5">
        <v>5.33</v>
      </c>
      <c r="D45" s="5">
        <v>32.130000000000003</v>
      </c>
      <c r="E45" s="5">
        <v>8.66</v>
      </c>
      <c r="F45" s="5">
        <v>14.21</v>
      </c>
      <c r="G45" s="5">
        <v>0.43</v>
      </c>
      <c r="H45" s="5">
        <v>870</v>
      </c>
      <c r="I45" s="5">
        <v>2</v>
      </c>
      <c r="J45" s="5">
        <v>0</v>
      </c>
      <c r="K45" s="5">
        <v>22.834645669291341</v>
      </c>
      <c r="L45" s="5">
        <v>19.685039370078744</v>
      </c>
      <c r="M45" s="5">
        <v>46.981627296587931</v>
      </c>
      <c r="N45" s="5">
        <v>10.498687664041997</v>
      </c>
      <c r="O45" s="5">
        <v>3.2382350994669693</v>
      </c>
      <c r="P45" t="s">
        <v>31</v>
      </c>
      <c r="Q45" t="s">
        <v>29</v>
      </c>
    </row>
    <row r="46" spans="1:17" x14ac:dyDescent="0.3">
      <c r="A46">
        <f t="shared" si="0"/>
        <v>45</v>
      </c>
      <c r="B46">
        <v>46.4</v>
      </c>
      <c r="C46" s="5">
        <v>5.33</v>
      </c>
      <c r="D46" s="5">
        <v>32.130000000000003</v>
      </c>
      <c r="E46" s="5">
        <v>8.66</v>
      </c>
      <c r="F46" s="5">
        <v>14.21</v>
      </c>
      <c r="G46" s="5">
        <v>0.23</v>
      </c>
      <c r="H46" s="5">
        <v>770</v>
      </c>
      <c r="I46" s="5">
        <v>2</v>
      </c>
      <c r="J46" s="5">
        <v>0</v>
      </c>
      <c r="K46" s="5">
        <v>27.973568281938324</v>
      </c>
      <c r="L46" s="5">
        <v>23.788546255506606</v>
      </c>
      <c r="M46" s="5">
        <v>33.480176211453738</v>
      </c>
      <c r="N46" s="5">
        <v>14.757709251101319</v>
      </c>
      <c r="O46" s="5">
        <v>2.1524426408279624</v>
      </c>
      <c r="P46" t="s">
        <v>31</v>
      </c>
      <c r="Q46" t="s">
        <v>29</v>
      </c>
    </row>
    <row r="47" spans="1:17" x14ac:dyDescent="0.3">
      <c r="A47">
        <f t="shared" si="0"/>
        <v>46</v>
      </c>
      <c r="B47">
        <v>30.88</v>
      </c>
      <c r="C47" s="5">
        <v>4.3600000000000003</v>
      </c>
      <c r="D47" s="5">
        <v>15.61</v>
      </c>
      <c r="E47" s="5">
        <v>8.65</v>
      </c>
      <c r="F47" s="5">
        <v>43.15</v>
      </c>
      <c r="G47" s="5">
        <v>0.3</v>
      </c>
      <c r="H47" s="5">
        <v>840</v>
      </c>
      <c r="I47" s="5">
        <v>2</v>
      </c>
      <c r="J47" s="5">
        <v>0</v>
      </c>
      <c r="K47" s="5">
        <v>20.192307692307686</v>
      </c>
      <c r="L47" s="5">
        <v>23.798076923076913</v>
      </c>
      <c r="M47" s="5">
        <v>36.538461538461526</v>
      </c>
      <c r="N47" s="5">
        <v>19.47115384615384</v>
      </c>
      <c r="O47" s="5">
        <v>2.4912157566147193</v>
      </c>
      <c r="P47" t="s">
        <v>31</v>
      </c>
      <c r="Q47" t="s">
        <v>29</v>
      </c>
    </row>
    <row r="48" spans="1:17" x14ac:dyDescent="0.3">
      <c r="A48">
        <f t="shared" si="0"/>
        <v>47</v>
      </c>
      <c r="B48" s="5">
        <v>45.100099999999998</v>
      </c>
      <c r="C48" s="5">
        <v>5.3014999999999999</v>
      </c>
      <c r="D48" s="5">
        <v>26.128399999999999</v>
      </c>
      <c r="E48" s="5">
        <v>22.1</v>
      </c>
      <c r="F48" s="5">
        <v>17.55</v>
      </c>
      <c r="G48" s="5">
        <v>0.18</v>
      </c>
      <c r="H48" s="5">
        <v>700</v>
      </c>
      <c r="I48" s="5">
        <v>1</v>
      </c>
      <c r="J48" s="5">
        <v>0</v>
      </c>
      <c r="K48" s="5">
        <v>23.677419354838708</v>
      </c>
      <c r="L48" s="5">
        <v>17.451612903225808</v>
      </c>
      <c r="M48" s="5">
        <v>36.645161290322584</v>
      </c>
      <c r="N48" s="5">
        <v>6</v>
      </c>
      <c r="O48" s="5">
        <v>0.23250000000000001</v>
      </c>
      <c r="P48" t="s">
        <v>32</v>
      </c>
      <c r="Q48" t="s">
        <v>33</v>
      </c>
    </row>
    <row r="49" spans="1:17" x14ac:dyDescent="0.3">
      <c r="A49">
        <f t="shared" si="0"/>
        <v>48</v>
      </c>
      <c r="B49" s="5">
        <v>45.100099999999998</v>
      </c>
      <c r="C49" s="5">
        <v>5.3014999999999999</v>
      </c>
      <c r="D49" s="5">
        <v>26.128399999999999</v>
      </c>
      <c r="E49" s="5">
        <v>22.1</v>
      </c>
      <c r="F49" s="5">
        <v>17.55</v>
      </c>
      <c r="G49" s="5">
        <v>0.22</v>
      </c>
      <c r="H49" s="5">
        <v>700</v>
      </c>
      <c r="I49" s="5">
        <v>1</v>
      </c>
      <c r="J49" s="5">
        <v>0</v>
      </c>
      <c r="K49" s="5">
        <v>27.972027972027973</v>
      </c>
      <c r="L49" s="5">
        <v>20.5449722691102</v>
      </c>
      <c r="M49" s="5">
        <v>31.878466361224984</v>
      </c>
      <c r="N49" s="5">
        <v>6.1490233904027001</v>
      </c>
      <c r="O49" s="5">
        <v>0.45202300000000001</v>
      </c>
      <c r="P49" t="s">
        <v>32</v>
      </c>
      <c r="Q49" t="s">
        <v>33</v>
      </c>
    </row>
    <row r="50" spans="1:17" x14ac:dyDescent="0.3">
      <c r="A50">
        <f t="shared" si="0"/>
        <v>49</v>
      </c>
      <c r="B50" s="5">
        <v>45.100099999999998</v>
      </c>
      <c r="C50" s="5">
        <v>5.3014999999999999</v>
      </c>
      <c r="D50" s="5">
        <v>26.128399999999999</v>
      </c>
      <c r="E50" s="5">
        <v>22.1</v>
      </c>
      <c r="F50" s="5">
        <v>17.55</v>
      </c>
      <c r="G50" s="5">
        <v>0.3</v>
      </c>
      <c r="H50" s="5">
        <v>700</v>
      </c>
      <c r="I50" s="5">
        <v>1</v>
      </c>
      <c r="J50" s="5">
        <v>0</v>
      </c>
      <c r="K50" s="5">
        <v>26.105810928013877</v>
      </c>
      <c r="L50" s="5">
        <v>21.010407632263661</v>
      </c>
      <c r="M50" s="5">
        <v>33.824804856895057</v>
      </c>
      <c r="N50" s="5">
        <v>5.3339115351257593</v>
      </c>
      <c r="O50" s="5">
        <v>0.53037999999999985</v>
      </c>
      <c r="P50" t="s">
        <v>32</v>
      </c>
      <c r="Q50" t="s">
        <v>33</v>
      </c>
    </row>
    <row r="51" spans="1:17" x14ac:dyDescent="0.3">
      <c r="A51">
        <f t="shared" si="0"/>
        <v>50</v>
      </c>
      <c r="B51" s="5">
        <v>45.100099999999998</v>
      </c>
      <c r="C51" s="5">
        <v>5.3014999999999999</v>
      </c>
      <c r="D51" s="5">
        <v>26.128399999999999</v>
      </c>
      <c r="E51" s="5">
        <v>22.1</v>
      </c>
      <c r="F51" s="5">
        <v>17.55</v>
      </c>
      <c r="G51" s="5">
        <v>0.3</v>
      </c>
      <c r="H51" s="5">
        <v>700</v>
      </c>
      <c r="I51" s="5">
        <v>1</v>
      </c>
      <c r="J51" s="5">
        <v>0.24</v>
      </c>
      <c r="K51" s="5">
        <v>32.859813084112147</v>
      </c>
      <c r="L51" s="5">
        <v>17.476635514018692</v>
      </c>
      <c r="M51" s="5">
        <v>33.158878504672892</v>
      </c>
      <c r="N51" s="5">
        <v>4.8411214953271031</v>
      </c>
      <c r="O51" s="5">
        <v>0.72760000000000002</v>
      </c>
      <c r="P51" t="s">
        <v>32</v>
      </c>
      <c r="Q51" t="s">
        <v>33</v>
      </c>
    </row>
    <row r="52" spans="1:17" x14ac:dyDescent="0.3">
      <c r="A52">
        <f t="shared" si="0"/>
        <v>51</v>
      </c>
      <c r="B52" s="5">
        <v>38.43</v>
      </c>
      <c r="C52" s="5">
        <v>2.97</v>
      </c>
      <c r="D52" s="5">
        <v>36.36</v>
      </c>
      <c r="E52" s="5">
        <v>9.9499999999999993</v>
      </c>
      <c r="F52" s="5">
        <v>19.52</v>
      </c>
      <c r="G52" s="5">
        <v>0.35</v>
      </c>
      <c r="H52" s="5">
        <v>750</v>
      </c>
      <c r="I52" s="5">
        <v>1</v>
      </c>
      <c r="J52" s="5">
        <v>0.5</v>
      </c>
      <c r="K52" s="5">
        <v>20.489977728285076</v>
      </c>
      <c r="L52" s="5">
        <v>28.507795100222719</v>
      </c>
      <c r="M52" s="5">
        <v>46.325167037861917</v>
      </c>
      <c r="N52" s="5">
        <v>4.6770601336302899</v>
      </c>
      <c r="O52" s="5">
        <v>1.92</v>
      </c>
      <c r="P52" t="s">
        <v>34</v>
      </c>
      <c r="Q52" t="s">
        <v>35</v>
      </c>
    </row>
    <row r="53" spans="1:17" x14ac:dyDescent="0.3">
      <c r="A53">
        <f t="shared" si="0"/>
        <v>52</v>
      </c>
      <c r="B53" s="5">
        <v>38.43</v>
      </c>
      <c r="C53" s="5">
        <v>2.97</v>
      </c>
      <c r="D53" s="5">
        <v>36.36</v>
      </c>
      <c r="E53" s="5">
        <v>9.9499999999999993</v>
      </c>
      <c r="F53" s="5">
        <v>19.52</v>
      </c>
      <c r="G53" s="5">
        <v>0.3</v>
      </c>
      <c r="H53" s="5">
        <v>800</v>
      </c>
      <c r="I53" s="5">
        <v>1</v>
      </c>
      <c r="J53" s="5">
        <v>0.5</v>
      </c>
      <c r="K53" s="5">
        <v>24.421052631578949</v>
      </c>
      <c r="L53" s="5">
        <v>30.94736842105263</v>
      </c>
      <c r="M53" s="5">
        <v>38.73684210526315</v>
      </c>
      <c r="N53" s="5">
        <v>5.8947368421052628</v>
      </c>
      <c r="O53" s="5">
        <v>1.96</v>
      </c>
      <c r="P53" t="s">
        <v>34</v>
      </c>
      <c r="Q53" t="s">
        <v>35</v>
      </c>
    </row>
    <row r="54" spans="1:17" x14ac:dyDescent="0.3">
      <c r="A54">
        <f t="shared" si="0"/>
        <v>53</v>
      </c>
      <c r="B54" s="5">
        <v>38.43</v>
      </c>
      <c r="C54" s="5">
        <v>2.97</v>
      </c>
      <c r="D54" s="5">
        <v>36.36</v>
      </c>
      <c r="E54" s="5">
        <v>9.9499999999999993</v>
      </c>
      <c r="F54" s="5">
        <v>19.52</v>
      </c>
      <c r="G54" s="5">
        <v>0.35</v>
      </c>
      <c r="H54" s="5">
        <v>800</v>
      </c>
      <c r="I54" s="5">
        <v>1</v>
      </c>
      <c r="J54" s="5">
        <v>0.2</v>
      </c>
      <c r="K54" s="5">
        <v>17.798594847775174</v>
      </c>
      <c r="L54" s="5">
        <v>32.084309133489462</v>
      </c>
      <c r="M54" s="5">
        <v>43.559718969555036</v>
      </c>
      <c r="N54" s="5">
        <v>6.5573770491803272</v>
      </c>
      <c r="O54" s="5">
        <v>2.0699999999999998</v>
      </c>
      <c r="P54" t="s">
        <v>34</v>
      </c>
      <c r="Q54" t="s">
        <v>35</v>
      </c>
    </row>
    <row r="55" spans="1:17" x14ac:dyDescent="0.3">
      <c r="A55">
        <f t="shared" si="0"/>
        <v>54</v>
      </c>
      <c r="B55" s="5">
        <v>38.43</v>
      </c>
      <c r="C55" s="5">
        <v>2.97</v>
      </c>
      <c r="D55" s="5">
        <v>36.36</v>
      </c>
      <c r="E55" s="5">
        <v>9.9499999999999993</v>
      </c>
      <c r="F55" s="5">
        <v>19.52</v>
      </c>
      <c r="G55" s="5">
        <v>0.35</v>
      </c>
      <c r="H55" s="5">
        <v>800</v>
      </c>
      <c r="I55" s="5">
        <v>1</v>
      </c>
      <c r="J55" s="5">
        <v>0.5</v>
      </c>
      <c r="K55" s="5">
        <v>22.269807280513916</v>
      </c>
      <c r="L55" s="5">
        <v>28.693790149892934</v>
      </c>
      <c r="M55" s="5">
        <v>43.468950749464668</v>
      </c>
      <c r="N55" s="5">
        <v>5.5674518201284791</v>
      </c>
      <c r="O55" s="5">
        <v>2.1</v>
      </c>
      <c r="P55" t="s">
        <v>34</v>
      </c>
      <c r="Q55" t="s">
        <v>35</v>
      </c>
    </row>
    <row r="56" spans="1:17" x14ac:dyDescent="0.3">
      <c r="A56">
        <f t="shared" si="0"/>
        <v>55</v>
      </c>
      <c r="B56" s="5">
        <v>38.43</v>
      </c>
      <c r="C56" s="5">
        <v>2.97</v>
      </c>
      <c r="D56" s="5">
        <v>36.36</v>
      </c>
      <c r="E56" s="5">
        <v>9.9499999999999993</v>
      </c>
      <c r="F56" s="5">
        <v>19.52</v>
      </c>
      <c r="G56" s="5">
        <v>0.4</v>
      </c>
      <c r="H56" s="5">
        <v>800</v>
      </c>
      <c r="I56" s="5">
        <v>1</v>
      </c>
      <c r="J56" s="5">
        <v>0.5</v>
      </c>
      <c r="K56" s="5">
        <v>21.098901098901099</v>
      </c>
      <c r="L56" s="5">
        <v>26.813186813186814</v>
      </c>
      <c r="M56" s="5">
        <v>47.252747252747255</v>
      </c>
      <c r="N56" s="5">
        <v>4.8351648351648358</v>
      </c>
      <c r="O56" s="5">
        <v>2.29</v>
      </c>
      <c r="P56" t="s">
        <v>34</v>
      </c>
      <c r="Q56" t="s">
        <v>35</v>
      </c>
    </row>
    <row r="57" spans="1:17" x14ac:dyDescent="0.3">
      <c r="A57">
        <f t="shared" si="0"/>
        <v>56</v>
      </c>
      <c r="B57" s="5">
        <v>38.43</v>
      </c>
      <c r="C57" s="5">
        <v>2.97</v>
      </c>
      <c r="D57" s="5">
        <v>36.36</v>
      </c>
      <c r="E57" s="5">
        <v>9.9499999999999993</v>
      </c>
      <c r="F57" s="5">
        <v>19.52</v>
      </c>
      <c r="G57" s="5">
        <v>0.35</v>
      </c>
      <c r="H57" s="5">
        <v>850</v>
      </c>
      <c r="I57" s="5">
        <v>1</v>
      </c>
      <c r="J57" s="5">
        <v>0.5</v>
      </c>
      <c r="K57" s="5">
        <v>25.518672199170123</v>
      </c>
      <c r="L57" s="5">
        <v>30.08298755186722</v>
      </c>
      <c r="M57" s="5">
        <v>38.174273858921154</v>
      </c>
      <c r="N57" s="5">
        <v>6.224066390041493</v>
      </c>
      <c r="O57" s="5">
        <v>2.31</v>
      </c>
      <c r="P57" t="s">
        <v>34</v>
      </c>
      <c r="Q57" t="s">
        <v>35</v>
      </c>
    </row>
    <row r="58" spans="1:17" x14ac:dyDescent="0.3">
      <c r="A58">
        <f t="shared" si="0"/>
        <v>57</v>
      </c>
      <c r="B58" s="5">
        <v>38.43</v>
      </c>
      <c r="C58" s="5">
        <v>2.97</v>
      </c>
      <c r="D58" s="5">
        <v>36.36</v>
      </c>
      <c r="E58" s="5">
        <v>9.9499999999999993</v>
      </c>
      <c r="F58" s="5">
        <v>19.52</v>
      </c>
      <c r="G58" s="5">
        <v>0.35</v>
      </c>
      <c r="H58" s="5">
        <v>800</v>
      </c>
      <c r="I58" s="5">
        <v>1</v>
      </c>
      <c r="J58" s="5">
        <v>0.8</v>
      </c>
      <c r="K58" s="5">
        <v>24.532224532224532</v>
      </c>
      <c r="L58" s="5">
        <v>26.403326403326403</v>
      </c>
      <c r="M58" s="5">
        <v>43.866943866943863</v>
      </c>
      <c r="N58" s="5">
        <v>5.1975051975051976</v>
      </c>
      <c r="O58" s="5">
        <v>2.13</v>
      </c>
      <c r="P58" t="s">
        <v>34</v>
      </c>
      <c r="Q58" t="s">
        <v>35</v>
      </c>
    </row>
    <row r="59" spans="1:17" x14ac:dyDescent="0.3">
      <c r="A59">
        <f t="shared" si="0"/>
        <v>58</v>
      </c>
      <c r="B59" s="5">
        <v>38.43</v>
      </c>
      <c r="C59" s="5">
        <v>2.97</v>
      </c>
      <c r="D59" s="5">
        <v>36.36</v>
      </c>
      <c r="E59" s="5">
        <v>9.9499999999999993</v>
      </c>
      <c r="F59" s="5">
        <v>19.52</v>
      </c>
      <c r="G59" s="5">
        <v>0.35</v>
      </c>
      <c r="H59" s="5">
        <v>850</v>
      </c>
      <c r="I59" s="5">
        <v>1</v>
      </c>
      <c r="J59" s="5">
        <v>0.8</v>
      </c>
      <c r="K59" s="5">
        <v>25.889328063241106</v>
      </c>
      <c r="L59" s="5">
        <v>28.063241106719367</v>
      </c>
      <c r="M59" s="5">
        <v>40.316205533596829</v>
      </c>
      <c r="N59" s="5">
        <v>5.7312252964426875</v>
      </c>
      <c r="O59" s="5">
        <v>2.34</v>
      </c>
      <c r="P59" t="s">
        <v>34</v>
      </c>
      <c r="Q59" t="s">
        <v>35</v>
      </c>
    </row>
    <row r="60" spans="1:17" x14ac:dyDescent="0.3">
      <c r="A60">
        <f t="shared" si="0"/>
        <v>59</v>
      </c>
      <c r="B60" s="5">
        <v>46.2607</v>
      </c>
      <c r="C60" s="5">
        <v>6.6773499999999997</v>
      </c>
      <c r="D60" s="5">
        <v>25.341899999999999</v>
      </c>
      <c r="E60" s="5">
        <v>6.4</v>
      </c>
      <c r="F60" s="5">
        <v>20.779900000000001</v>
      </c>
      <c r="G60" s="5">
        <v>0.25600000000000001</v>
      </c>
      <c r="H60" s="5">
        <v>849</v>
      </c>
      <c r="I60" s="5">
        <v>3</v>
      </c>
      <c r="J60" s="5">
        <v>0</v>
      </c>
      <c r="K60" s="5">
        <v>22.181532827622288</v>
      </c>
      <c r="L60" s="5">
        <v>25.477373790217108</v>
      </c>
      <c r="M60" s="5">
        <v>34.946377190687947</v>
      </c>
      <c r="N60" s="5">
        <v>10.933821606068534</v>
      </c>
      <c r="O60" s="5">
        <v>2.184760620364127</v>
      </c>
      <c r="P60" t="s">
        <v>36</v>
      </c>
      <c r="Q60" t="s">
        <v>37</v>
      </c>
    </row>
    <row r="61" spans="1:17" x14ac:dyDescent="0.3">
      <c r="A61">
        <f t="shared" si="0"/>
        <v>60</v>
      </c>
      <c r="B61" s="5">
        <v>46.2607</v>
      </c>
      <c r="C61" s="5">
        <v>6.6773499999999997</v>
      </c>
      <c r="D61" s="5">
        <v>25.341899999999999</v>
      </c>
      <c r="E61" s="5">
        <v>6.4</v>
      </c>
      <c r="F61" s="5">
        <v>20.779900000000001</v>
      </c>
      <c r="G61" s="5">
        <v>0.255</v>
      </c>
      <c r="H61" s="5">
        <v>852</v>
      </c>
      <c r="I61" s="5">
        <v>3</v>
      </c>
      <c r="J61" s="5">
        <v>0</v>
      </c>
      <c r="K61" s="5">
        <v>18.064024390243901</v>
      </c>
      <c r="L61" s="5">
        <v>25.355691056910569</v>
      </c>
      <c r="M61" s="5">
        <v>39.862804878048784</v>
      </c>
      <c r="N61" s="5">
        <v>10.670731707317074</v>
      </c>
      <c r="O61" s="5">
        <v>2.3331085637221851</v>
      </c>
      <c r="P61" t="s">
        <v>36</v>
      </c>
      <c r="Q61" t="s">
        <v>37</v>
      </c>
    </row>
    <row r="62" spans="1:17" x14ac:dyDescent="0.3">
      <c r="A62">
        <f t="shared" si="0"/>
        <v>61</v>
      </c>
      <c r="B62" s="5">
        <v>46.2607</v>
      </c>
      <c r="C62" s="5">
        <v>6.6773499999999997</v>
      </c>
      <c r="D62" s="5">
        <v>25.341899999999999</v>
      </c>
      <c r="E62" s="5">
        <v>6.4</v>
      </c>
      <c r="F62" s="5">
        <v>20.779900000000001</v>
      </c>
      <c r="G62" s="5">
        <v>0.27200000000000002</v>
      </c>
      <c r="H62" s="5">
        <v>869</v>
      </c>
      <c r="I62" s="5">
        <v>3</v>
      </c>
      <c r="J62" s="5">
        <v>0</v>
      </c>
      <c r="K62" s="5">
        <v>22.019306026611012</v>
      </c>
      <c r="L62" s="5">
        <v>27.315418732063659</v>
      </c>
      <c r="M62" s="5">
        <v>32.037568484216017</v>
      </c>
      <c r="N62" s="5">
        <v>11.922775893555961</v>
      </c>
      <c r="O62" s="5">
        <v>2.3196223870532706</v>
      </c>
      <c r="P62" t="s">
        <v>36</v>
      </c>
      <c r="Q62" t="s">
        <v>37</v>
      </c>
    </row>
    <row r="63" spans="1:17" x14ac:dyDescent="0.3">
      <c r="A63">
        <f t="shared" si="0"/>
        <v>62</v>
      </c>
      <c r="B63" s="5">
        <v>46.2607</v>
      </c>
      <c r="C63" s="5">
        <v>6.6773499999999997</v>
      </c>
      <c r="D63" s="5">
        <v>25.341899999999999</v>
      </c>
      <c r="E63" s="5">
        <v>6.4</v>
      </c>
      <c r="F63" s="5">
        <v>20.779900000000001</v>
      </c>
      <c r="G63" s="5">
        <v>0.30199999999999999</v>
      </c>
      <c r="H63" s="5">
        <v>879</v>
      </c>
      <c r="I63" s="5">
        <v>3</v>
      </c>
      <c r="J63" s="5">
        <v>0</v>
      </c>
      <c r="K63" s="5">
        <v>21.604614577871001</v>
      </c>
      <c r="L63" s="5">
        <v>27.267960146827477</v>
      </c>
      <c r="M63" s="5">
        <v>33.639223911903514</v>
      </c>
      <c r="N63" s="5">
        <v>11.405348715259569</v>
      </c>
      <c r="O63" s="5">
        <v>2.5758597437626438</v>
      </c>
      <c r="P63" t="s">
        <v>36</v>
      </c>
      <c r="Q63" t="s">
        <v>37</v>
      </c>
    </row>
    <row r="64" spans="1:17" x14ac:dyDescent="0.3">
      <c r="A64">
        <f t="shared" si="0"/>
        <v>63</v>
      </c>
      <c r="B64" s="5">
        <v>46.2607</v>
      </c>
      <c r="C64" s="5">
        <v>6.6773499999999997</v>
      </c>
      <c r="D64" s="5">
        <v>25.341899999999999</v>
      </c>
      <c r="E64" s="5">
        <v>6.4</v>
      </c>
      <c r="F64" s="5">
        <v>20.779900000000001</v>
      </c>
      <c r="G64" s="5">
        <v>0.318</v>
      </c>
      <c r="H64" s="5">
        <v>898</v>
      </c>
      <c r="I64" s="5">
        <v>3</v>
      </c>
      <c r="J64" s="5">
        <v>0</v>
      </c>
      <c r="K64" s="5">
        <v>17.996949669547533</v>
      </c>
      <c r="L64" s="5">
        <v>32.358922216573461</v>
      </c>
      <c r="M64" s="5">
        <v>35.688866293848498</v>
      </c>
      <c r="N64" s="5">
        <v>8.4646670055922719</v>
      </c>
      <c r="O64" s="5">
        <v>2.7511800404585305</v>
      </c>
      <c r="P64" t="s">
        <v>36</v>
      </c>
      <c r="Q64" t="s">
        <v>37</v>
      </c>
    </row>
    <row r="65" spans="1:17" x14ac:dyDescent="0.3">
      <c r="A65">
        <f t="shared" si="0"/>
        <v>64</v>
      </c>
      <c r="B65" s="5">
        <v>46.2607</v>
      </c>
      <c r="C65" s="5">
        <v>6.6773499999999997</v>
      </c>
      <c r="D65" s="5">
        <v>25.341899999999999</v>
      </c>
      <c r="E65" s="5">
        <v>6.4</v>
      </c>
      <c r="F65" s="5">
        <v>20.779900000000001</v>
      </c>
      <c r="G65" s="5">
        <v>0.33200000000000002</v>
      </c>
      <c r="H65" s="5">
        <v>932</v>
      </c>
      <c r="I65" s="5">
        <v>3</v>
      </c>
      <c r="J65" s="5">
        <v>0</v>
      </c>
      <c r="K65" s="5">
        <v>21.701045493077139</v>
      </c>
      <c r="L65" s="5">
        <v>29.895450692285955</v>
      </c>
      <c r="M65" s="5">
        <v>32.947160214749928</v>
      </c>
      <c r="N65" s="5">
        <v>10.680983328623904</v>
      </c>
      <c r="O65" s="5">
        <v>2.6972353337828729</v>
      </c>
      <c r="P65" t="s">
        <v>36</v>
      </c>
      <c r="Q65" t="s">
        <v>37</v>
      </c>
    </row>
    <row r="66" spans="1:17" x14ac:dyDescent="0.3">
      <c r="A66">
        <f t="shared" si="0"/>
        <v>65</v>
      </c>
      <c r="B66">
        <v>41.395921908893705</v>
      </c>
      <c r="C66">
        <v>5.4408242950108452</v>
      </c>
      <c r="D66">
        <v>46.513340563991321</v>
      </c>
      <c r="E66" s="5">
        <v>7.8</v>
      </c>
      <c r="F66">
        <v>4.8806941431670277</v>
      </c>
      <c r="G66" s="5">
        <v>0.25</v>
      </c>
      <c r="H66" s="5">
        <v>650</v>
      </c>
      <c r="I66" s="5">
        <v>1</v>
      </c>
      <c r="J66" s="5">
        <v>0</v>
      </c>
      <c r="K66">
        <v>19.614921780986766</v>
      </c>
      <c r="L66">
        <v>30.32490974729242</v>
      </c>
      <c r="M66">
        <v>44.283995186522262</v>
      </c>
      <c r="N66">
        <v>5.7761732851985563</v>
      </c>
      <c r="O66">
        <v>1.325242718446602</v>
      </c>
      <c r="P66" t="s">
        <v>38</v>
      </c>
      <c r="Q66" t="s">
        <v>39</v>
      </c>
    </row>
    <row r="67" spans="1:17" x14ac:dyDescent="0.3">
      <c r="A67">
        <f t="shared" si="0"/>
        <v>66</v>
      </c>
      <c r="B67">
        <v>41.395921908893705</v>
      </c>
      <c r="C67">
        <v>5.4408242950108452</v>
      </c>
      <c r="D67">
        <v>46.513340563991321</v>
      </c>
      <c r="E67" s="5">
        <v>7.8</v>
      </c>
      <c r="F67">
        <v>4.8806941431670277</v>
      </c>
      <c r="G67" s="5">
        <v>0.25</v>
      </c>
      <c r="H67" s="5">
        <v>750</v>
      </c>
      <c r="I67" s="5">
        <v>1</v>
      </c>
      <c r="J67" s="5">
        <v>0</v>
      </c>
      <c r="K67">
        <v>15.491452991452993</v>
      </c>
      <c r="L67">
        <v>31.623931623931625</v>
      </c>
      <c r="M67">
        <v>44.551282051282058</v>
      </c>
      <c r="N67">
        <v>8.3333333333333339</v>
      </c>
      <c r="O67">
        <v>1.4854368932038835</v>
      </c>
      <c r="P67" t="s">
        <v>38</v>
      </c>
      <c r="Q67" t="s">
        <v>39</v>
      </c>
    </row>
    <row r="68" spans="1:17" x14ac:dyDescent="0.3">
      <c r="A68">
        <f t="shared" ref="A68:A131" si="1">A67+1</f>
        <v>67</v>
      </c>
      <c r="B68">
        <v>41.395921908893705</v>
      </c>
      <c r="C68">
        <v>5.4408242950108452</v>
      </c>
      <c r="D68">
        <v>46.513340563991321</v>
      </c>
      <c r="E68" s="5">
        <v>7.8</v>
      </c>
      <c r="F68">
        <v>4.8806941431670277</v>
      </c>
      <c r="G68" s="5">
        <v>0.25</v>
      </c>
      <c r="H68" s="5">
        <v>850</v>
      </c>
      <c r="I68" s="5">
        <v>1</v>
      </c>
      <c r="J68" s="5">
        <v>0</v>
      </c>
      <c r="K68">
        <v>16.045845272206304</v>
      </c>
      <c r="L68">
        <v>36.198662846227315</v>
      </c>
      <c r="M68">
        <v>40.687679083094558</v>
      </c>
      <c r="N68">
        <v>7.0678127984718238</v>
      </c>
      <c r="O68">
        <v>1.6747572815533982</v>
      </c>
      <c r="P68" t="s">
        <v>38</v>
      </c>
      <c r="Q68" t="s">
        <v>39</v>
      </c>
    </row>
    <row r="69" spans="1:17" x14ac:dyDescent="0.3">
      <c r="A69">
        <f t="shared" si="1"/>
        <v>68</v>
      </c>
      <c r="B69">
        <v>41.395921908893705</v>
      </c>
      <c r="C69">
        <v>5.4408242950108452</v>
      </c>
      <c r="D69">
        <v>46.513340563991321</v>
      </c>
      <c r="E69" s="5">
        <v>7.8</v>
      </c>
      <c r="F69">
        <v>4.8806941431670277</v>
      </c>
      <c r="G69" s="5">
        <v>0.25</v>
      </c>
      <c r="H69" s="5">
        <v>950</v>
      </c>
      <c r="I69" s="5">
        <v>1</v>
      </c>
      <c r="J69" s="5">
        <v>0</v>
      </c>
      <c r="K69">
        <v>20.297951582867789</v>
      </c>
      <c r="L69">
        <v>38.547486033519554</v>
      </c>
      <c r="M69">
        <v>34.543761638733713</v>
      </c>
      <c r="N69">
        <v>6.6108007448789579</v>
      </c>
      <c r="O69">
        <v>1.9223300970873787</v>
      </c>
      <c r="P69" t="s">
        <v>38</v>
      </c>
      <c r="Q69" t="s">
        <v>39</v>
      </c>
    </row>
    <row r="70" spans="1:17" x14ac:dyDescent="0.3">
      <c r="A70">
        <f t="shared" si="1"/>
        <v>69</v>
      </c>
      <c r="B70">
        <v>41.395921908893705</v>
      </c>
      <c r="C70">
        <v>5.4408242950108452</v>
      </c>
      <c r="D70">
        <v>46.513340563991321</v>
      </c>
      <c r="E70" s="5">
        <v>7.8</v>
      </c>
      <c r="F70">
        <v>4.8806941431670277</v>
      </c>
      <c r="G70" s="5">
        <v>0.25</v>
      </c>
      <c r="H70" s="5">
        <v>1050</v>
      </c>
      <c r="I70" s="5">
        <v>1</v>
      </c>
      <c r="J70" s="5">
        <v>0</v>
      </c>
      <c r="K70">
        <v>25.160109789569994</v>
      </c>
      <c r="L70">
        <v>40.073193046660577</v>
      </c>
      <c r="M70">
        <v>28.270814272644103</v>
      </c>
      <c r="N70">
        <v>6.4958828911253432</v>
      </c>
      <c r="O70">
        <v>2.0242718446601944</v>
      </c>
      <c r="P70" t="s">
        <v>38</v>
      </c>
      <c r="Q70" t="s">
        <v>39</v>
      </c>
    </row>
    <row r="71" spans="1:17" x14ac:dyDescent="0.3">
      <c r="A71">
        <f t="shared" si="1"/>
        <v>70</v>
      </c>
      <c r="B71">
        <v>41.395921908893705</v>
      </c>
      <c r="C71">
        <v>5.4408242950108452</v>
      </c>
      <c r="D71">
        <v>46.513340563991321</v>
      </c>
      <c r="E71" s="5">
        <v>7.8</v>
      </c>
      <c r="F71">
        <v>4.8806941431670277</v>
      </c>
      <c r="G71" s="5">
        <v>0.17</v>
      </c>
      <c r="H71" s="5">
        <v>770</v>
      </c>
      <c r="I71" s="5">
        <v>1</v>
      </c>
      <c r="J71" s="5">
        <v>0</v>
      </c>
      <c r="K71">
        <v>16.5083135391924</v>
      </c>
      <c r="L71">
        <v>35.273159144893114</v>
      </c>
      <c r="M71">
        <v>40.855106888361043</v>
      </c>
      <c r="N71">
        <v>7.3634204275534447</v>
      </c>
      <c r="O71">
        <v>1.1882352941176471</v>
      </c>
      <c r="P71" t="s">
        <v>38</v>
      </c>
      <c r="Q71" t="s">
        <v>39</v>
      </c>
    </row>
    <row r="72" spans="1:17" x14ac:dyDescent="0.3">
      <c r="A72">
        <f t="shared" si="1"/>
        <v>71</v>
      </c>
      <c r="B72">
        <v>41.395921908893705</v>
      </c>
      <c r="C72">
        <v>5.4408242950108452</v>
      </c>
      <c r="D72">
        <v>46.513340563991321</v>
      </c>
      <c r="E72" s="5">
        <v>7.8</v>
      </c>
      <c r="F72">
        <v>4.8806941431670277</v>
      </c>
      <c r="G72" s="5">
        <v>0.21</v>
      </c>
      <c r="H72" s="5">
        <v>770</v>
      </c>
      <c r="I72" s="5">
        <v>1</v>
      </c>
      <c r="J72" s="5">
        <v>0</v>
      </c>
      <c r="K72">
        <v>12.078977932636469</v>
      </c>
      <c r="L72">
        <v>36.353077816492451</v>
      </c>
      <c r="M72">
        <v>42.27642276422764</v>
      </c>
      <c r="N72">
        <v>9.2915214866434379</v>
      </c>
      <c r="O72">
        <v>1.3294117647058823</v>
      </c>
      <c r="P72" t="s">
        <v>38</v>
      </c>
      <c r="Q72" t="s">
        <v>39</v>
      </c>
    </row>
    <row r="73" spans="1:17" x14ac:dyDescent="0.3">
      <c r="A73">
        <f t="shared" si="1"/>
        <v>72</v>
      </c>
      <c r="B73">
        <v>41.395921908893705</v>
      </c>
      <c r="C73">
        <v>5.4408242950108452</v>
      </c>
      <c r="D73">
        <v>46.513340563991321</v>
      </c>
      <c r="E73" s="5">
        <v>7.8</v>
      </c>
      <c r="F73">
        <v>4.8806941431670277</v>
      </c>
      <c r="G73" s="5">
        <v>0.28000000000000003</v>
      </c>
      <c r="H73" s="5">
        <v>770</v>
      </c>
      <c r="I73" s="5">
        <v>1</v>
      </c>
      <c r="J73" s="5">
        <v>0</v>
      </c>
      <c r="K73">
        <v>11.910669975186105</v>
      </c>
      <c r="L73">
        <v>34.24317617866005</v>
      </c>
      <c r="M73">
        <v>46.277915632754343</v>
      </c>
      <c r="N73">
        <v>7.5682382133995043</v>
      </c>
      <c r="O73">
        <v>1.6</v>
      </c>
      <c r="P73" t="s">
        <v>38</v>
      </c>
      <c r="Q73" t="s">
        <v>39</v>
      </c>
    </row>
    <row r="74" spans="1:17" x14ac:dyDescent="0.3">
      <c r="A74">
        <f t="shared" si="1"/>
        <v>73</v>
      </c>
      <c r="B74">
        <v>41.395921908893705</v>
      </c>
      <c r="C74">
        <v>5.4408242950108452</v>
      </c>
      <c r="D74">
        <v>46.513340563991321</v>
      </c>
      <c r="E74" s="5">
        <v>7.8</v>
      </c>
      <c r="F74">
        <v>4.8806941431670277</v>
      </c>
      <c r="G74" s="5">
        <v>0.32</v>
      </c>
      <c r="H74" s="5">
        <v>770</v>
      </c>
      <c r="I74" s="5">
        <v>1</v>
      </c>
      <c r="J74" s="5">
        <v>0</v>
      </c>
      <c r="K74">
        <v>9.5785440613026811</v>
      </c>
      <c r="L74">
        <v>33.077905491698594</v>
      </c>
      <c r="M74">
        <v>50.702426564495518</v>
      </c>
      <c r="N74">
        <v>6.6411238825031926</v>
      </c>
      <c r="O74">
        <v>1.7529411764705882</v>
      </c>
      <c r="P74" t="s">
        <v>38</v>
      </c>
      <c r="Q74" t="s">
        <v>39</v>
      </c>
    </row>
    <row r="75" spans="1:17" x14ac:dyDescent="0.3">
      <c r="A75">
        <f t="shared" si="1"/>
        <v>74</v>
      </c>
      <c r="B75">
        <v>44.749414519906324</v>
      </c>
      <c r="C75">
        <v>5.8026932084309131</v>
      </c>
      <c r="D75">
        <v>45.286885245901637</v>
      </c>
      <c r="E75" s="5">
        <v>14.6</v>
      </c>
      <c r="F75">
        <v>0.46838407494145196</v>
      </c>
      <c r="G75" s="5">
        <v>0.25</v>
      </c>
      <c r="H75" s="5">
        <v>650</v>
      </c>
      <c r="I75" s="5">
        <v>1</v>
      </c>
      <c r="J75" s="5">
        <v>0</v>
      </c>
      <c r="K75">
        <v>15.417558886509633</v>
      </c>
      <c r="L75">
        <v>37.901498929336185</v>
      </c>
      <c r="M75">
        <v>39.079229122055665</v>
      </c>
      <c r="N75">
        <v>7.6017130620985007</v>
      </c>
      <c r="O75">
        <v>1.2918660287081341</v>
      </c>
      <c r="P75" t="s">
        <v>40</v>
      </c>
      <c r="Q75" t="s">
        <v>39</v>
      </c>
    </row>
    <row r="76" spans="1:17" x14ac:dyDescent="0.3">
      <c r="A76">
        <f t="shared" si="1"/>
        <v>75</v>
      </c>
      <c r="B76">
        <v>44.749414519906324</v>
      </c>
      <c r="C76">
        <v>5.8026932084309131</v>
      </c>
      <c r="D76">
        <v>45.286885245901637</v>
      </c>
      <c r="E76" s="5">
        <v>14.6</v>
      </c>
      <c r="F76">
        <v>0.46838407494145196</v>
      </c>
      <c r="G76" s="5">
        <v>0.25</v>
      </c>
      <c r="H76" s="5">
        <v>750</v>
      </c>
      <c r="I76" s="5">
        <v>1</v>
      </c>
      <c r="J76" s="5">
        <v>0</v>
      </c>
      <c r="K76">
        <v>14.742268041237114</v>
      </c>
      <c r="L76">
        <v>35.979381443298969</v>
      </c>
      <c r="M76">
        <v>43.195876288659797</v>
      </c>
      <c r="N76">
        <v>6.0824742268041243</v>
      </c>
      <c r="O76">
        <v>1.7081339712918662</v>
      </c>
      <c r="P76" t="s">
        <v>40</v>
      </c>
      <c r="Q76" t="s">
        <v>39</v>
      </c>
    </row>
    <row r="77" spans="1:17" x14ac:dyDescent="0.3">
      <c r="A77">
        <f t="shared" si="1"/>
        <v>76</v>
      </c>
      <c r="B77">
        <v>44.749414519906324</v>
      </c>
      <c r="C77">
        <v>5.8026932084309131</v>
      </c>
      <c r="D77">
        <v>45.286885245901637</v>
      </c>
      <c r="E77" s="5">
        <v>14.6</v>
      </c>
      <c r="F77">
        <v>0.46838407494145196</v>
      </c>
      <c r="G77" s="5">
        <v>0.25</v>
      </c>
      <c r="H77" s="5">
        <v>850</v>
      </c>
      <c r="I77" s="5">
        <v>1</v>
      </c>
      <c r="J77" s="5">
        <v>0</v>
      </c>
      <c r="K77">
        <v>17.674418604651166</v>
      </c>
      <c r="L77">
        <v>32.837209302325583</v>
      </c>
      <c r="M77">
        <v>42.97674418604651</v>
      </c>
      <c r="N77">
        <v>6.5116279069767442</v>
      </c>
      <c r="O77">
        <v>1.7799043062200957</v>
      </c>
      <c r="P77" t="s">
        <v>40</v>
      </c>
      <c r="Q77" t="s">
        <v>39</v>
      </c>
    </row>
    <row r="78" spans="1:17" x14ac:dyDescent="0.3">
      <c r="A78">
        <f t="shared" si="1"/>
        <v>77</v>
      </c>
      <c r="B78">
        <v>44.749414519906324</v>
      </c>
      <c r="C78">
        <v>5.8026932084309131</v>
      </c>
      <c r="D78">
        <v>45.286885245901637</v>
      </c>
      <c r="E78" s="5">
        <v>14.6</v>
      </c>
      <c r="F78">
        <v>0.46838407494145196</v>
      </c>
      <c r="G78" s="5">
        <v>0.25</v>
      </c>
      <c r="H78" s="5">
        <v>950</v>
      </c>
      <c r="I78" s="5">
        <v>1</v>
      </c>
      <c r="J78" s="5">
        <v>0</v>
      </c>
      <c r="K78">
        <v>29.697986577181204</v>
      </c>
      <c r="L78">
        <v>31.208053691275168</v>
      </c>
      <c r="M78">
        <v>33.13758389261745</v>
      </c>
      <c r="N78">
        <v>5.9563758389261743</v>
      </c>
      <c r="O78">
        <v>1.8373205741626795</v>
      </c>
      <c r="P78" t="s">
        <v>40</v>
      </c>
      <c r="Q78" t="s">
        <v>39</v>
      </c>
    </row>
    <row r="79" spans="1:17" x14ac:dyDescent="0.3">
      <c r="A79">
        <f t="shared" si="1"/>
        <v>78</v>
      </c>
      <c r="B79">
        <v>44.749414519906324</v>
      </c>
      <c r="C79">
        <v>5.8026932084309131</v>
      </c>
      <c r="D79">
        <v>45.286885245901637</v>
      </c>
      <c r="E79" s="5">
        <v>14.6</v>
      </c>
      <c r="F79">
        <v>0.46838407494145196</v>
      </c>
      <c r="G79" s="5">
        <v>0.25</v>
      </c>
      <c r="H79" s="5">
        <v>1050</v>
      </c>
      <c r="I79" s="5">
        <v>1</v>
      </c>
      <c r="J79" s="5">
        <v>0</v>
      </c>
      <c r="K79">
        <v>36.455893832943005</v>
      </c>
      <c r="L79">
        <v>32.943013270882126</v>
      </c>
      <c r="M79">
        <v>25.370804059328652</v>
      </c>
      <c r="N79">
        <v>5.2302888368462135</v>
      </c>
      <c r="O79">
        <v>1.9808612440191389</v>
      </c>
      <c r="P79" t="s">
        <v>40</v>
      </c>
      <c r="Q79" t="s">
        <v>39</v>
      </c>
    </row>
    <row r="80" spans="1:17" x14ac:dyDescent="0.3">
      <c r="A80">
        <f t="shared" si="1"/>
        <v>79</v>
      </c>
      <c r="B80" s="5">
        <v>85.170299999999997</v>
      </c>
      <c r="C80" s="5">
        <v>13.8277</v>
      </c>
      <c r="D80" s="5">
        <v>0</v>
      </c>
      <c r="E80" s="5">
        <v>0.2</v>
      </c>
      <c r="F80" s="5">
        <v>1.002</v>
      </c>
      <c r="G80" s="5">
        <v>0.22</v>
      </c>
      <c r="H80" s="5">
        <v>867</v>
      </c>
      <c r="I80" s="5">
        <v>1</v>
      </c>
      <c r="J80" s="5">
        <v>0</v>
      </c>
      <c r="K80" s="5">
        <v>26.912181303116149</v>
      </c>
      <c r="L80" s="5">
        <v>6.7988668555240794</v>
      </c>
      <c r="M80" s="5">
        <v>27.195467422096318</v>
      </c>
      <c r="N80" s="5">
        <v>25.779036827195469</v>
      </c>
      <c r="O80" s="5">
        <v>3.3522265849300981</v>
      </c>
      <c r="P80" t="s">
        <v>41</v>
      </c>
      <c r="Q80" t="s">
        <v>42</v>
      </c>
    </row>
    <row r="81" spans="1:17" x14ac:dyDescent="0.3">
      <c r="A81">
        <f t="shared" si="1"/>
        <v>80</v>
      </c>
      <c r="B81" s="5">
        <v>85.170299999999997</v>
      </c>
      <c r="C81" s="5">
        <v>13.8277</v>
      </c>
      <c r="D81" s="5">
        <v>0</v>
      </c>
      <c r="E81" s="5">
        <v>0.2</v>
      </c>
      <c r="F81" s="5">
        <v>1.002</v>
      </c>
      <c r="G81" s="5">
        <v>0.31</v>
      </c>
      <c r="H81" s="5">
        <v>898</v>
      </c>
      <c r="I81" s="5">
        <v>1</v>
      </c>
      <c r="J81" s="5">
        <v>0</v>
      </c>
      <c r="K81" s="5">
        <v>25.3125</v>
      </c>
      <c r="L81" s="5">
        <v>6.8750000000000009</v>
      </c>
      <c r="M81" s="5">
        <v>32.5</v>
      </c>
      <c r="N81" s="5">
        <v>22.1875</v>
      </c>
      <c r="O81" s="5">
        <v>4.3956042176447099</v>
      </c>
      <c r="P81" t="s">
        <v>41</v>
      </c>
      <c r="Q81" t="s">
        <v>42</v>
      </c>
    </row>
    <row r="82" spans="1:17" x14ac:dyDescent="0.3">
      <c r="A82">
        <f t="shared" si="1"/>
        <v>81</v>
      </c>
      <c r="B82" s="5">
        <v>85.170299999999997</v>
      </c>
      <c r="C82" s="5">
        <v>13.8277</v>
      </c>
      <c r="D82" s="5">
        <v>0</v>
      </c>
      <c r="E82" s="5">
        <v>0.2</v>
      </c>
      <c r="F82" s="5">
        <v>1.002</v>
      </c>
      <c r="G82" s="5">
        <v>0.2</v>
      </c>
      <c r="H82" s="5">
        <v>845</v>
      </c>
      <c r="I82" s="5">
        <v>1</v>
      </c>
      <c r="J82" s="5">
        <v>0</v>
      </c>
      <c r="K82" s="5">
        <v>25.348189415041787</v>
      </c>
      <c r="L82" s="5">
        <v>7.7994428969359353</v>
      </c>
      <c r="M82" s="5">
        <v>25.348189415041787</v>
      </c>
      <c r="N82" s="5">
        <v>28.96935933147633</v>
      </c>
      <c r="O82" s="5">
        <v>2.9980012110684697</v>
      </c>
      <c r="P82" t="s">
        <v>41</v>
      </c>
      <c r="Q82" t="s">
        <v>42</v>
      </c>
    </row>
    <row r="83" spans="1:17" x14ac:dyDescent="0.3">
      <c r="A83">
        <f t="shared" si="1"/>
        <v>82</v>
      </c>
      <c r="B83" s="5">
        <v>85.170299999999997</v>
      </c>
      <c r="C83" s="5">
        <v>13.8277</v>
      </c>
      <c r="D83" s="5">
        <v>0</v>
      </c>
      <c r="E83" s="5">
        <v>0.2</v>
      </c>
      <c r="F83" s="5">
        <v>1.002</v>
      </c>
      <c r="G83" s="5">
        <v>0.27</v>
      </c>
      <c r="H83" s="5">
        <v>807</v>
      </c>
      <c r="I83" s="5">
        <v>3</v>
      </c>
      <c r="J83" s="5">
        <v>0</v>
      </c>
      <c r="K83" s="5">
        <v>52.745098039215677</v>
      </c>
      <c r="L83" s="5">
        <v>39.2156862745098</v>
      </c>
      <c r="M83" s="5">
        <v>2.7450980392156858</v>
      </c>
      <c r="N83" s="5">
        <v>4.3137254901960782</v>
      </c>
      <c r="O83" s="5">
        <v>5.4936154736312641</v>
      </c>
      <c r="P83" t="s">
        <v>41</v>
      </c>
      <c r="Q83" t="s">
        <v>42</v>
      </c>
    </row>
    <row r="84" spans="1:17" x14ac:dyDescent="0.3">
      <c r="A84">
        <f t="shared" si="1"/>
        <v>83</v>
      </c>
      <c r="B84" s="5">
        <v>85.170299999999997</v>
      </c>
      <c r="C84" s="5">
        <v>13.8277</v>
      </c>
      <c r="D84" s="5">
        <v>0</v>
      </c>
      <c r="E84" s="5">
        <v>0.2</v>
      </c>
      <c r="F84" s="5">
        <v>1.002</v>
      </c>
      <c r="G84" s="5">
        <v>0.2</v>
      </c>
      <c r="H84" s="5">
        <v>819</v>
      </c>
      <c r="I84" s="5">
        <v>3</v>
      </c>
      <c r="J84" s="5">
        <v>0</v>
      </c>
      <c r="K84" s="5">
        <v>54.826958105646639</v>
      </c>
      <c r="L84" s="5">
        <v>33.515482695810569</v>
      </c>
      <c r="M84" s="5">
        <v>2.9143897996357016</v>
      </c>
      <c r="N84" s="5">
        <v>6.1930783242258665</v>
      </c>
      <c r="O84" s="5">
        <v>4.2190494776008096</v>
      </c>
      <c r="P84" t="s">
        <v>41</v>
      </c>
      <c r="Q84" t="s">
        <v>42</v>
      </c>
    </row>
    <row r="85" spans="1:17" x14ac:dyDescent="0.3">
      <c r="A85">
        <f t="shared" si="1"/>
        <v>84</v>
      </c>
      <c r="B85" s="5">
        <v>85.170299999999997</v>
      </c>
      <c r="C85" s="5">
        <v>13.8277</v>
      </c>
      <c r="D85" s="5">
        <v>0</v>
      </c>
      <c r="E85" s="5">
        <v>0.2</v>
      </c>
      <c r="F85" s="5">
        <v>1.002</v>
      </c>
      <c r="G85" s="5">
        <v>0.28000000000000003</v>
      </c>
      <c r="H85" s="5">
        <v>816</v>
      </c>
      <c r="I85" s="5">
        <v>3</v>
      </c>
      <c r="J85" s="5">
        <v>0</v>
      </c>
      <c r="K85" s="5">
        <v>52.621359223300971</v>
      </c>
      <c r="L85" s="5">
        <v>39.029126213592235</v>
      </c>
      <c r="M85" s="5">
        <v>3.3009708737864076</v>
      </c>
      <c r="N85" s="5">
        <v>4.0776699029126213</v>
      </c>
      <c r="O85" s="5">
        <v>5.7178446766366209</v>
      </c>
      <c r="P85" t="s">
        <v>41</v>
      </c>
      <c r="Q85" t="s">
        <v>42</v>
      </c>
    </row>
    <row r="86" spans="1:17" x14ac:dyDescent="0.3">
      <c r="A86">
        <f t="shared" si="1"/>
        <v>85</v>
      </c>
      <c r="B86" s="5">
        <v>85.170299999999997</v>
      </c>
      <c r="C86" s="5">
        <v>13.8277</v>
      </c>
      <c r="D86" s="5">
        <v>0</v>
      </c>
      <c r="E86" s="5">
        <v>0.2</v>
      </c>
      <c r="F86" s="5">
        <v>1.002</v>
      </c>
      <c r="G86" s="5">
        <v>0.31</v>
      </c>
      <c r="H86" s="5">
        <v>825</v>
      </c>
      <c r="I86" s="5">
        <v>3</v>
      </c>
      <c r="J86" s="5">
        <v>0</v>
      </c>
      <c r="K86" s="5">
        <v>48.289738430583505</v>
      </c>
      <c r="L86" s="5">
        <v>39.235412474849099</v>
      </c>
      <c r="M86" s="5">
        <v>6.6398390342052318</v>
      </c>
      <c r="N86" s="5">
        <v>4.0241448692152924</v>
      </c>
      <c r="O86" s="5">
        <v>6.0728742480617708</v>
      </c>
      <c r="P86" t="s">
        <v>41</v>
      </c>
      <c r="Q86" t="s">
        <v>42</v>
      </c>
    </row>
    <row r="87" spans="1:17" x14ac:dyDescent="0.3">
      <c r="A87">
        <f t="shared" si="1"/>
        <v>86</v>
      </c>
      <c r="B87" s="5">
        <v>85.170299999999997</v>
      </c>
      <c r="C87" s="5">
        <v>13.8277</v>
      </c>
      <c r="D87" s="5">
        <v>0</v>
      </c>
      <c r="E87" s="5">
        <v>0.2</v>
      </c>
      <c r="F87" s="5">
        <v>1.002</v>
      </c>
      <c r="G87" s="5">
        <v>0.21</v>
      </c>
      <c r="H87" s="5">
        <v>825</v>
      </c>
      <c r="I87" s="5">
        <v>3</v>
      </c>
      <c r="J87" s="5">
        <v>0</v>
      </c>
      <c r="K87" s="5">
        <v>55.39568345323741</v>
      </c>
      <c r="L87" s="5">
        <v>34.172661870503596</v>
      </c>
      <c r="M87" s="5">
        <v>2.8776978417266186</v>
      </c>
      <c r="N87" s="5">
        <v>5.7553956834532372</v>
      </c>
      <c r="O87" s="5">
        <v>4.8582993984494163</v>
      </c>
      <c r="P87" t="s">
        <v>41</v>
      </c>
      <c r="Q87" t="s">
        <v>42</v>
      </c>
    </row>
    <row r="88" spans="1:17" x14ac:dyDescent="0.3">
      <c r="A88">
        <f t="shared" si="1"/>
        <v>87</v>
      </c>
      <c r="B88" s="5">
        <v>85.170299999999997</v>
      </c>
      <c r="C88" s="5">
        <v>13.8277</v>
      </c>
      <c r="D88" s="5">
        <v>0</v>
      </c>
      <c r="E88" s="5">
        <v>0.2</v>
      </c>
      <c r="F88" s="5">
        <v>1.002</v>
      </c>
      <c r="G88" s="5">
        <v>0.28999999999999998</v>
      </c>
      <c r="H88" s="5">
        <v>850</v>
      </c>
      <c r="I88" s="5">
        <v>3</v>
      </c>
      <c r="J88" s="5">
        <v>0</v>
      </c>
      <c r="K88" s="5">
        <v>55.113636363636367</v>
      </c>
      <c r="L88" s="5">
        <v>39.583333333333336</v>
      </c>
      <c r="M88" s="5">
        <v>2.2727272727272729</v>
      </c>
      <c r="N88" s="5">
        <v>2.8409090909090913</v>
      </c>
      <c r="O88" s="5">
        <v>6.262651568313701</v>
      </c>
      <c r="P88" t="s">
        <v>41</v>
      </c>
      <c r="Q88" t="s">
        <v>42</v>
      </c>
    </row>
    <row r="89" spans="1:17" x14ac:dyDescent="0.3">
      <c r="A89">
        <f t="shared" si="1"/>
        <v>88</v>
      </c>
      <c r="B89" s="5">
        <v>84.653999999999996</v>
      </c>
      <c r="C89" s="5">
        <v>14.0421</v>
      </c>
      <c r="D89" s="5">
        <v>0</v>
      </c>
      <c r="E89" s="5">
        <v>0.3</v>
      </c>
      <c r="F89" s="5">
        <v>1.3039000000000001</v>
      </c>
      <c r="G89" s="5">
        <v>0.23</v>
      </c>
      <c r="H89" s="5">
        <v>818</v>
      </c>
      <c r="I89" s="5">
        <v>3</v>
      </c>
      <c r="J89" s="5">
        <v>0</v>
      </c>
      <c r="K89" s="5">
        <v>56.877323420074362</v>
      </c>
      <c r="L89" s="5">
        <v>32.527881040892197</v>
      </c>
      <c r="M89" s="5">
        <v>4.2750929368029746</v>
      </c>
      <c r="N89" s="5">
        <v>5.2044609665427517</v>
      </c>
      <c r="O89" s="5">
        <v>4.9840927265732802</v>
      </c>
      <c r="P89" t="s">
        <v>43</v>
      </c>
      <c r="Q89" t="s">
        <v>42</v>
      </c>
    </row>
    <row r="90" spans="1:17" x14ac:dyDescent="0.3">
      <c r="A90">
        <f t="shared" si="1"/>
        <v>89</v>
      </c>
      <c r="B90" s="5">
        <v>84.653999999999996</v>
      </c>
      <c r="C90" s="5">
        <v>14.0421</v>
      </c>
      <c r="D90" s="5">
        <v>0</v>
      </c>
      <c r="E90" s="5">
        <v>0.3</v>
      </c>
      <c r="F90" s="5">
        <v>1.3039000000000001</v>
      </c>
      <c r="G90" s="5">
        <v>0.27</v>
      </c>
      <c r="H90" s="5">
        <v>831</v>
      </c>
      <c r="I90" s="5">
        <v>3</v>
      </c>
      <c r="J90" s="5">
        <v>0</v>
      </c>
      <c r="K90" s="5">
        <v>52.611940298507463</v>
      </c>
      <c r="L90" s="5">
        <v>39.365671641791046</v>
      </c>
      <c r="M90" s="5">
        <v>2.7985074626865671</v>
      </c>
      <c r="N90" s="5">
        <v>4.2910447761194019</v>
      </c>
      <c r="O90" s="5">
        <v>5.9182202432245301</v>
      </c>
      <c r="P90" t="s">
        <v>43</v>
      </c>
      <c r="Q90" t="s">
        <v>42</v>
      </c>
    </row>
    <row r="91" spans="1:17" x14ac:dyDescent="0.3">
      <c r="A91">
        <f t="shared" si="1"/>
        <v>90</v>
      </c>
      <c r="B91" s="5">
        <v>84.653999999999996</v>
      </c>
      <c r="C91" s="5">
        <v>14.0421</v>
      </c>
      <c r="D91" s="5">
        <v>0</v>
      </c>
      <c r="E91" s="5">
        <v>0.3</v>
      </c>
      <c r="F91" s="5">
        <v>1.3039000000000001</v>
      </c>
      <c r="G91" s="5">
        <v>0.24</v>
      </c>
      <c r="H91" s="5">
        <v>829</v>
      </c>
      <c r="I91" s="5">
        <v>3</v>
      </c>
      <c r="J91" s="5">
        <v>0</v>
      </c>
      <c r="K91" s="5">
        <v>54.327808471454873</v>
      </c>
      <c r="L91" s="5">
        <v>36.648250460405151</v>
      </c>
      <c r="M91" s="5">
        <v>3.1307550644567215</v>
      </c>
      <c r="N91" s="5">
        <v>4.6040515653775316</v>
      </c>
      <c r="O91" s="5">
        <v>5.2264802147956875</v>
      </c>
      <c r="P91" t="s">
        <v>43</v>
      </c>
      <c r="Q91" t="s">
        <v>42</v>
      </c>
    </row>
    <row r="92" spans="1:17" x14ac:dyDescent="0.3">
      <c r="A92">
        <f t="shared" si="1"/>
        <v>91</v>
      </c>
      <c r="B92" s="5">
        <v>68.511099999999999</v>
      </c>
      <c r="C92" s="5">
        <v>10.2616</v>
      </c>
      <c r="D92" s="5">
        <v>14.386900000000001</v>
      </c>
      <c r="E92" s="5">
        <v>0.6</v>
      </c>
      <c r="F92" s="5">
        <v>6.7404000000000002</v>
      </c>
      <c r="G92" s="5">
        <v>0.31</v>
      </c>
      <c r="H92" s="5">
        <v>914</v>
      </c>
      <c r="I92" s="5">
        <v>3</v>
      </c>
      <c r="J92" s="5">
        <v>0</v>
      </c>
      <c r="K92" s="5">
        <v>20.952380952380953</v>
      </c>
      <c r="L92" s="5">
        <v>15.238095238095237</v>
      </c>
      <c r="M92" s="5">
        <v>36.19047619047619</v>
      </c>
      <c r="N92" s="5">
        <v>20</v>
      </c>
      <c r="O92" s="5">
        <v>3.5847631101805435</v>
      </c>
      <c r="P92" t="s">
        <v>44</v>
      </c>
      <c r="Q92" t="s">
        <v>42</v>
      </c>
    </row>
    <row r="93" spans="1:17" x14ac:dyDescent="0.3">
      <c r="A93">
        <f t="shared" si="1"/>
        <v>92</v>
      </c>
      <c r="B93" s="5">
        <v>68.511099999999999</v>
      </c>
      <c r="C93" s="5">
        <v>10.2616</v>
      </c>
      <c r="D93" s="5">
        <v>14.386900000000001</v>
      </c>
      <c r="E93" s="5">
        <v>0.6</v>
      </c>
      <c r="F93" s="5">
        <v>6.7404000000000002</v>
      </c>
      <c r="G93" s="5">
        <v>0.25</v>
      </c>
      <c r="H93" s="5">
        <v>884</v>
      </c>
      <c r="I93" s="5">
        <v>3</v>
      </c>
      <c r="J93" s="5">
        <v>0</v>
      </c>
      <c r="K93" s="5">
        <v>22.346368715083802</v>
      </c>
      <c r="L93" s="5">
        <v>12.849162011173183</v>
      </c>
      <c r="M93" s="5">
        <v>32.402234636871512</v>
      </c>
      <c r="N93" s="5">
        <v>22.067039106145252</v>
      </c>
      <c r="O93" s="5">
        <v>3.2766975303994039</v>
      </c>
      <c r="P93" t="s">
        <v>44</v>
      </c>
      <c r="Q93" t="s">
        <v>42</v>
      </c>
    </row>
    <row r="94" spans="1:17" x14ac:dyDescent="0.3">
      <c r="A94">
        <f t="shared" si="1"/>
        <v>93</v>
      </c>
      <c r="B94" s="5">
        <v>68.511099999999999</v>
      </c>
      <c r="C94" s="5">
        <v>10.2616</v>
      </c>
      <c r="D94" s="5">
        <v>14.386900000000001</v>
      </c>
      <c r="E94" s="5">
        <v>0.6</v>
      </c>
      <c r="F94" s="5">
        <v>6.7404000000000002</v>
      </c>
      <c r="G94" s="5">
        <v>0.22</v>
      </c>
      <c r="H94" s="5">
        <v>869</v>
      </c>
      <c r="I94" s="5">
        <v>3</v>
      </c>
      <c r="J94" s="5">
        <v>0</v>
      </c>
      <c r="K94" s="5">
        <v>20.178041543026712</v>
      </c>
      <c r="L94" s="5">
        <v>10.979228486646887</v>
      </c>
      <c r="M94" s="5">
        <v>32.937685459940667</v>
      </c>
      <c r="N94" s="5">
        <v>21.661721068249264</v>
      </c>
      <c r="O94" s="5">
        <v>2.8555098304134234</v>
      </c>
      <c r="P94" t="s">
        <v>44</v>
      </c>
      <c r="Q94" t="s">
        <v>42</v>
      </c>
    </row>
    <row r="95" spans="1:17" x14ac:dyDescent="0.3">
      <c r="A95">
        <f t="shared" si="1"/>
        <v>94</v>
      </c>
      <c r="B95" s="5">
        <v>80.06</v>
      </c>
      <c r="C95" s="5">
        <v>13.192299999999999</v>
      </c>
      <c r="D95" s="5">
        <v>4.5321999999999996</v>
      </c>
      <c r="E95" s="5">
        <v>0.7</v>
      </c>
      <c r="F95" s="5">
        <v>1.9134</v>
      </c>
      <c r="G95" s="5">
        <v>0.27</v>
      </c>
      <c r="H95" s="5">
        <v>894</v>
      </c>
      <c r="I95" s="5">
        <v>3</v>
      </c>
      <c r="J95" s="5">
        <v>0</v>
      </c>
      <c r="K95" s="5">
        <v>25.000000000000007</v>
      </c>
      <c r="L95" s="5">
        <v>15.40697674418605</v>
      </c>
      <c r="M95" s="5">
        <v>28.488372093023266</v>
      </c>
      <c r="N95" s="5">
        <v>21.220930232558146</v>
      </c>
      <c r="O95" s="5">
        <v>3.8693534290553511</v>
      </c>
      <c r="P95" t="s">
        <v>45</v>
      </c>
      <c r="Q95" t="s">
        <v>42</v>
      </c>
    </row>
    <row r="96" spans="1:17" x14ac:dyDescent="0.3">
      <c r="A96">
        <f t="shared" si="1"/>
        <v>95</v>
      </c>
      <c r="B96" s="5">
        <v>80.06</v>
      </c>
      <c r="C96" s="5">
        <v>13.192299999999999</v>
      </c>
      <c r="D96" s="5">
        <v>4.5321999999999996</v>
      </c>
      <c r="E96" s="5">
        <v>0.7</v>
      </c>
      <c r="F96" s="5">
        <v>1.9134</v>
      </c>
      <c r="G96" s="5">
        <v>0.24</v>
      </c>
      <c r="H96" s="5">
        <v>890</v>
      </c>
      <c r="I96" s="5">
        <v>3</v>
      </c>
      <c r="J96" s="5">
        <v>0</v>
      </c>
      <c r="K96" s="5">
        <v>24.61538461538462</v>
      </c>
      <c r="L96" s="5">
        <v>11.53846153846154</v>
      </c>
      <c r="M96" s="5">
        <v>27.948717948717952</v>
      </c>
      <c r="N96" s="5">
        <v>22.051282051282055</v>
      </c>
      <c r="O96" s="5">
        <v>3.6025266764377055</v>
      </c>
      <c r="P96" t="s">
        <v>45</v>
      </c>
      <c r="Q96" t="s">
        <v>42</v>
      </c>
    </row>
    <row r="97" spans="1:17" x14ac:dyDescent="0.3">
      <c r="A97">
        <f t="shared" si="1"/>
        <v>96</v>
      </c>
      <c r="B97" s="5">
        <v>57.0974</v>
      </c>
      <c r="C97" s="5">
        <v>8.1568000000000005</v>
      </c>
      <c r="D97" s="5">
        <v>27.860199999999999</v>
      </c>
      <c r="E97" s="5">
        <v>5.6</v>
      </c>
      <c r="F97" s="5">
        <v>6.25</v>
      </c>
      <c r="G97" s="5">
        <v>0.26</v>
      </c>
      <c r="H97" s="5">
        <v>879</v>
      </c>
      <c r="I97" s="5">
        <v>3</v>
      </c>
      <c r="J97" s="5">
        <v>0</v>
      </c>
      <c r="K97" s="5">
        <v>22.398190045248871</v>
      </c>
      <c r="L97" s="5">
        <v>26.244343891402718</v>
      </c>
      <c r="M97" s="5">
        <v>32.352941176470594</v>
      </c>
      <c r="N97" s="5">
        <v>14.253393665158372</v>
      </c>
      <c r="O97" s="5">
        <v>2.7556041552761075</v>
      </c>
      <c r="P97" t="s">
        <v>46</v>
      </c>
      <c r="Q97" t="s">
        <v>42</v>
      </c>
    </row>
    <row r="98" spans="1:17" x14ac:dyDescent="0.3">
      <c r="A98">
        <f t="shared" si="1"/>
        <v>97</v>
      </c>
      <c r="B98" s="5">
        <v>57.0974</v>
      </c>
      <c r="C98" s="5">
        <v>8.1568000000000005</v>
      </c>
      <c r="D98" s="5">
        <v>27.860199999999999</v>
      </c>
      <c r="E98" s="5">
        <v>5.6</v>
      </c>
      <c r="F98" s="5">
        <v>6.25</v>
      </c>
      <c r="G98" s="5">
        <v>0.31</v>
      </c>
      <c r="H98" s="5">
        <v>915</v>
      </c>
      <c r="I98" s="5">
        <v>3</v>
      </c>
      <c r="J98" s="5">
        <v>0</v>
      </c>
      <c r="K98" s="5">
        <v>20.101781170483459</v>
      </c>
      <c r="L98" s="5">
        <v>27.735368956742999</v>
      </c>
      <c r="M98" s="5">
        <v>35.877862595419842</v>
      </c>
      <c r="N98" s="5">
        <v>12.468193384223918</v>
      </c>
      <c r="O98" s="5">
        <v>3.0915254237288132</v>
      </c>
      <c r="P98" t="s">
        <v>46</v>
      </c>
      <c r="Q98" t="s">
        <v>42</v>
      </c>
    </row>
    <row r="99" spans="1:17" x14ac:dyDescent="0.3">
      <c r="A99">
        <f t="shared" si="1"/>
        <v>98</v>
      </c>
      <c r="B99">
        <v>57.9</v>
      </c>
      <c r="C99" s="5">
        <v>8.4608000000000008</v>
      </c>
      <c r="D99" s="5">
        <v>16</v>
      </c>
      <c r="E99" s="5">
        <v>1.9</v>
      </c>
      <c r="F99" s="5">
        <v>16.5138</v>
      </c>
      <c r="G99" s="5">
        <v>0.34</v>
      </c>
      <c r="H99" s="5">
        <v>899</v>
      </c>
      <c r="I99" s="5">
        <v>3</v>
      </c>
      <c r="J99" s="5">
        <v>0</v>
      </c>
      <c r="K99" s="5">
        <v>16.71388101983003</v>
      </c>
      <c r="L99" s="5">
        <v>21.52974504249292</v>
      </c>
      <c r="M99" s="5">
        <v>37.960339943342781</v>
      </c>
      <c r="N99" s="5">
        <v>18.696883852691219</v>
      </c>
      <c r="O99" s="5">
        <v>3.0431121399317238</v>
      </c>
      <c r="P99" t="s">
        <v>36</v>
      </c>
      <c r="Q99" t="s">
        <v>42</v>
      </c>
    </row>
    <row r="100" spans="1:17" x14ac:dyDescent="0.3">
      <c r="A100">
        <f t="shared" si="1"/>
        <v>99</v>
      </c>
      <c r="B100">
        <v>57.9</v>
      </c>
      <c r="C100" s="5">
        <v>8.4608000000000008</v>
      </c>
      <c r="D100" s="5">
        <v>16</v>
      </c>
      <c r="E100" s="5">
        <v>1.9</v>
      </c>
      <c r="F100" s="5">
        <v>16.5138</v>
      </c>
      <c r="G100" s="5">
        <v>0.28000000000000003</v>
      </c>
      <c r="H100" s="5">
        <v>896</v>
      </c>
      <c r="I100" s="5">
        <v>3</v>
      </c>
      <c r="J100" s="5">
        <v>0</v>
      </c>
      <c r="K100" s="5">
        <v>20.95490716180371</v>
      </c>
      <c r="L100" s="5">
        <v>23.076923076923073</v>
      </c>
      <c r="M100" s="5">
        <v>32.625994694960212</v>
      </c>
      <c r="N100" s="5">
        <v>18.567639257294427</v>
      </c>
      <c r="O100" s="5">
        <v>2.6990565763526977</v>
      </c>
      <c r="P100" t="s">
        <v>36</v>
      </c>
      <c r="Q100" t="s">
        <v>42</v>
      </c>
    </row>
    <row r="101" spans="1:17" x14ac:dyDescent="0.3">
      <c r="A101">
        <f t="shared" si="1"/>
        <v>100</v>
      </c>
      <c r="B101">
        <v>57.9</v>
      </c>
      <c r="C101" s="5">
        <v>8.4608000000000008</v>
      </c>
      <c r="D101" s="5">
        <v>16</v>
      </c>
      <c r="E101" s="5">
        <v>1.9</v>
      </c>
      <c r="F101" s="5">
        <v>16.5138</v>
      </c>
      <c r="G101" s="5">
        <v>0.23</v>
      </c>
      <c r="H101" s="5">
        <v>869</v>
      </c>
      <c r="I101" s="5">
        <v>3</v>
      </c>
      <c r="J101" s="5">
        <v>0</v>
      </c>
      <c r="K101" s="5">
        <v>21.852731591448933</v>
      </c>
      <c r="L101" s="5">
        <v>21.615201900237533</v>
      </c>
      <c r="M101" s="5">
        <v>30.403800475059388</v>
      </c>
      <c r="N101" s="5">
        <v>19.714964370546323</v>
      </c>
      <c r="O101" s="5">
        <v>2.3570643145042816</v>
      </c>
      <c r="P101" t="s">
        <v>36</v>
      </c>
      <c r="Q101" t="s">
        <v>42</v>
      </c>
    </row>
    <row r="102" spans="1:17" x14ac:dyDescent="0.3">
      <c r="A102">
        <f t="shared" si="1"/>
        <v>101</v>
      </c>
      <c r="B102" s="5">
        <v>29.5</v>
      </c>
      <c r="C102" s="5">
        <v>4.9000000000000004</v>
      </c>
      <c r="D102" s="5">
        <v>15</v>
      </c>
      <c r="E102" s="5">
        <v>8.6999999999999993</v>
      </c>
      <c r="F102" s="5">
        <v>41.7</v>
      </c>
      <c r="G102" s="5">
        <v>0.3</v>
      </c>
      <c r="H102" s="5">
        <v>800</v>
      </c>
      <c r="I102" s="5">
        <v>1</v>
      </c>
      <c r="J102" s="5">
        <v>0</v>
      </c>
      <c r="K102" s="5">
        <v>25.432098765432098</v>
      </c>
      <c r="L102" s="5">
        <v>22.222222222222221</v>
      </c>
      <c r="M102" s="5">
        <v>33.580246913580247</v>
      </c>
      <c r="N102" s="5">
        <v>8.1481481481481488</v>
      </c>
      <c r="O102" s="5">
        <v>2.8</v>
      </c>
      <c r="P102" t="s">
        <v>47</v>
      </c>
      <c r="Q102" t="s">
        <v>48</v>
      </c>
    </row>
    <row r="103" spans="1:17" x14ac:dyDescent="0.3">
      <c r="A103">
        <f t="shared" si="1"/>
        <v>102</v>
      </c>
      <c r="B103" s="5">
        <v>29.5</v>
      </c>
      <c r="C103" s="5">
        <v>4.9000000000000004</v>
      </c>
      <c r="D103" s="5">
        <v>15</v>
      </c>
      <c r="E103" s="5">
        <v>8.6999999999999993</v>
      </c>
      <c r="F103" s="5">
        <v>41.7</v>
      </c>
      <c r="G103" s="5">
        <v>0.3</v>
      </c>
      <c r="H103" s="5">
        <v>800</v>
      </c>
      <c r="I103" s="5">
        <v>1</v>
      </c>
      <c r="J103" s="5">
        <v>0</v>
      </c>
      <c r="K103" s="5">
        <v>26.098901098901099</v>
      </c>
      <c r="L103" s="5">
        <v>20.604395604395606</v>
      </c>
      <c r="M103" s="5">
        <v>36.263736263736263</v>
      </c>
      <c r="N103" s="5">
        <v>7.1428571428571432</v>
      </c>
      <c r="O103" s="5">
        <v>2.8</v>
      </c>
      <c r="P103" t="s">
        <v>47</v>
      </c>
      <c r="Q103" t="s">
        <v>48</v>
      </c>
    </row>
    <row r="104" spans="1:17" x14ac:dyDescent="0.3">
      <c r="A104">
        <f t="shared" si="1"/>
        <v>103</v>
      </c>
      <c r="B104" s="5">
        <v>29.5</v>
      </c>
      <c r="C104" s="5">
        <v>4.9000000000000004</v>
      </c>
      <c r="D104" s="5">
        <v>15</v>
      </c>
      <c r="E104" s="5">
        <v>8.6999999999999993</v>
      </c>
      <c r="F104" s="5">
        <v>41.7</v>
      </c>
      <c r="G104" s="5">
        <v>0.3</v>
      </c>
      <c r="H104" s="5">
        <v>800</v>
      </c>
      <c r="I104" s="5">
        <v>1</v>
      </c>
      <c r="J104" s="5">
        <v>0</v>
      </c>
      <c r="K104" s="5">
        <v>23.160762942779289</v>
      </c>
      <c r="L104" s="5">
        <v>22.343324250681196</v>
      </c>
      <c r="M104" s="5">
        <v>36.51226158038147</v>
      </c>
      <c r="N104" s="5">
        <v>8.1743869209809255</v>
      </c>
      <c r="O104" s="5">
        <v>2.7</v>
      </c>
      <c r="P104" t="s">
        <v>47</v>
      </c>
      <c r="Q104" t="s">
        <v>48</v>
      </c>
    </row>
    <row r="105" spans="1:17" x14ac:dyDescent="0.3">
      <c r="A105">
        <f t="shared" si="1"/>
        <v>104</v>
      </c>
      <c r="B105" s="5">
        <v>29.5</v>
      </c>
      <c r="C105" s="5">
        <v>4.9000000000000004</v>
      </c>
      <c r="D105" s="5">
        <v>15</v>
      </c>
      <c r="E105" s="5">
        <v>8.6999999999999993</v>
      </c>
      <c r="F105" s="5">
        <v>41.7</v>
      </c>
      <c r="G105" s="5">
        <v>0.3</v>
      </c>
      <c r="H105" s="5">
        <v>800</v>
      </c>
      <c r="I105" s="5">
        <v>1</v>
      </c>
      <c r="J105" s="5">
        <v>1</v>
      </c>
      <c r="K105" s="5">
        <v>28.17258883248731</v>
      </c>
      <c r="L105" s="5">
        <v>17.00507614213198</v>
      </c>
      <c r="M105" s="5">
        <v>34.771573604060912</v>
      </c>
      <c r="N105" s="5">
        <v>7.8680203045685282</v>
      </c>
      <c r="O105" s="5">
        <v>2.9</v>
      </c>
      <c r="P105" t="s">
        <v>47</v>
      </c>
      <c r="Q105" t="s">
        <v>48</v>
      </c>
    </row>
    <row r="106" spans="1:17" x14ac:dyDescent="0.3">
      <c r="A106">
        <f t="shared" si="1"/>
        <v>105</v>
      </c>
      <c r="B106" s="5">
        <v>29.5</v>
      </c>
      <c r="C106" s="5">
        <v>4.9000000000000004</v>
      </c>
      <c r="D106" s="5">
        <v>15</v>
      </c>
      <c r="E106" s="5">
        <v>8.6999999999999993</v>
      </c>
      <c r="F106" s="5">
        <v>41.7</v>
      </c>
      <c r="G106" s="5">
        <v>0.3</v>
      </c>
      <c r="H106" s="5">
        <v>800</v>
      </c>
      <c r="I106" s="5">
        <v>1</v>
      </c>
      <c r="J106" s="5">
        <v>1</v>
      </c>
      <c r="K106" s="5">
        <v>26.648351648351646</v>
      </c>
      <c r="L106" s="5">
        <v>16.758241758241759</v>
      </c>
      <c r="M106" s="5">
        <v>36.263736263736263</v>
      </c>
      <c r="N106" s="5">
        <v>6.8681318681318686</v>
      </c>
      <c r="O106" s="5">
        <v>2.9</v>
      </c>
      <c r="P106" t="s">
        <v>47</v>
      </c>
      <c r="Q106" t="s">
        <v>48</v>
      </c>
    </row>
    <row r="107" spans="1:17" x14ac:dyDescent="0.3">
      <c r="A107">
        <f t="shared" si="1"/>
        <v>106</v>
      </c>
      <c r="B107" s="5">
        <v>29.5</v>
      </c>
      <c r="C107" s="5">
        <v>4.9000000000000004</v>
      </c>
      <c r="D107" s="5">
        <v>15</v>
      </c>
      <c r="E107" s="5">
        <v>8.6999999999999993</v>
      </c>
      <c r="F107" s="5">
        <v>41.7</v>
      </c>
      <c r="G107" s="5">
        <v>0.3</v>
      </c>
      <c r="H107" s="5">
        <v>800</v>
      </c>
      <c r="I107" s="5">
        <v>1</v>
      </c>
      <c r="J107" s="5">
        <v>1</v>
      </c>
      <c r="K107" s="5">
        <v>24.450549450549453</v>
      </c>
      <c r="L107" s="5">
        <v>21.153846153846153</v>
      </c>
      <c r="M107" s="5">
        <v>38.18681318681319</v>
      </c>
      <c r="N107" s="5">
        <v>6.3186813186813184</v>
      </c>
      <c r="O107" s="5">
        <v>3</v>
      </c>
      <c r="P107" t="s">
        <v>47</v>
      </c>
      <c r="Q107" t="s">
        <v>48</v>
      </c>
    </row>
    <row r="108" spans="1:17" x14ac:dyDescent="0.3">
      <c r="A108">
        <f t="shared" si="1"/>
        <v>107</v>
      </c>
      <c r="B108">
        <v>27.3</v>
      </c>
      <c r="C108" s="5">
        <v>4.8</v>
      </c>
      <c r="D108" s="5">
        <v>18.899999999999999</v>
      </c>
      <c r="E108" s="5">
        <v>7</v>
      </c>
      <c r="F108" s="5">
        <v>44</v>
      </c>
      <c r="G108" s="5">
        <v>0.3</v>
      </c>
      <c r="H108" s="5">
        <v>750</v>
      </c>
      <c r="I108" s="5">
        <v>1</v>
      </c>
      <c r="J108" s="5">
        <v>0</v>
      </c>
      <c r="K108" s="5">
        <v>21.776504297994265</v>
      </c>
      <c r="L108" s="5">
        <v>19.770773638968478</v>
      </c>
      <c r="M108" s="5">
        <v>40.401146131805149</v>
      </c>
      <c r="N108" s="5">
        <v>7.7363896848137523</v>
      </c>
      <c r="O108" s="5">
        <v>2.5</v>
      </c>
      <c r="P108" t="s">
        <v>47</v>
      </c>
      <c r="Q108" t="s">
        <v>49</v>
      </c>
    </row>
    <row r="109" spans="1:17" x14ac:dyDescent="0.3">
      <c r="A109">
        <f t="shared" si="1"/>
        <v>108</v>
      </c>
      <c r="B109">
        <v>27.3</v>
      </c>
      <c r="C109" s="5">
        <v>4.8</v>
      </c>
      <c r="D109" s="5">
        <v>18.899999999999999</v>
      </c>
      <c r="E109" s="5">
        <v>7</v>
      </c>
      <c r="F109" s="5">
        <v>44</v>
      </c>
      <c r="G109" s="5">
        <v>0.3</v>
      </c>
      <c r="H109" s="5">
        <v>800</v>
      </c>
      <c r="I109" s="5">
        <v>1</v>
      </c>
      <c r="J109" s="5">
        <v>0</v>
      </c>
      <c r="K109" s="5">
        <v>26.530612244897956</v>
      </c>
      <c r="L109" s="5">
        <v>20.408163265306122</v>
      </c>
      <c r="M109" s="5">
        <v>35.969387755102041</v>
      </c>
      <c r="N109" s="5">
        <v>7.6530612244897958</v>
      </c>
      <c r="O109" s="5">
        <v>2.5</v>
      </c>
      <c r="P109" t="s">
        <v>47</v>
      </c>
      <c r="Q109" t="s">
        <v>49</v>
      </c>
    </row>
    <row r="110" spans="1:17" x14ac:dyDescent="0.3">
      <c r="A110">
        <f t="shared" si="1"/>
        <v>109</v>
      </c>
      <c r="B110">
        <v>27.3</v>
      </c>
      <c r="C110" s="5">
        <v>4.8</v>
      </c>
      <c r="D110" s="5">
        <v>18.899999999999999</v>
      </c>
      <c r="E110" s="5">
        <v>7</v>
      </c>
      <c r="F110" s="5">
        <v>44</v>
      </c>
      <c r="G110" s="5">
        <v>0.3</v>
      </c>
      <c r="H110" s="5">
        <v>850</v>
      </c>
      <c r="I110" s="5">
        <v>1</v>
      </c>
      <c r="J110" s="5">
        <v>0</v>
      </c>
      <c r="K110" s="5">
        <v>28.605200945626478</v>
      </c>
      <c r="L110" s="5">
        <v>23.877068557919625</v>
      </c>
      <c r="M110" s="5">
        <v>30.969267139479907</v>
      </c>
      <c r="N110" s="5">
        <v>7.8014184397163122</v>
      </c>
      <c r="O110" s="5">
        <v>2.6</v>
      </c>
      <c r="P110" t="s">
        <v>47</v>
      </c>
      <c r="Q110" t="s">
        <v>49</v>
      </c>
    </row>
    <row r="111" spans="1:17" x14ac:dyDescent="0.3">
      <c r="A111">
        <f t="shared" si="1"/>
        <v>110</v>
      </c>
      <c r="B111">
        <v>27.3</v>
      </c>
      <c r="C111" s="5">
        <v>4.8</v>
      </c>
      <c r="D111" s="5">
        <v>18.899999999999999</v>
      </c>
      <c r="E111" s="5">
        <v>7</v>
      </c>
      <c r="F111" s="5">
        <v>44</v>
      </c>
      <c r="G111" s="5">
        <v>0.2</v>
      </c>
      <c r="H111" s="5">
        <v>750</v>
      </c>
      <c r="I111" s="5">
        <v>1</v>
      </c>
      <c r="J111" s="5">
        <v>0</v>
      </c>
      <c r="K111" s="5">
        <v>25.063938618925832</v>
      </c>
      <c r="L111" s="5">
        <v>18.414322250639387</v>
      </c>
      <c r="M111" s="5">
        <v>36.31713554987212</v>
      </c>
      <c r="N111" s="5">
        <v>9.4629156010230169</v>
      </c>
      <c r="O111" s="5">
        <v>1.9</v>
      </c>
      <c r="P111" t="s">
        <v>47</v>
      </c>
      <c r="Q111" t="s">
        <v>50</v>
      </c>
    </row>
    <row r="112" spans="1:17" x14ac:dyDescent="0.3">
      <c r="A112">
        <f t="shared" si="1"/>
        <v>111</v>
      </c>
      <c r="B112">
        <v>27.3</v>
      </c>
      <c r="C112" s="5">
        <v>4.8</v>
      </c>
      <c r="D112" s="5">
        <v>18.899999999999999</v>
      </c>
      <c r="E112" s="5">
        <v>7</v>
      </c>
      <c r="F112" s="5">
        <v>44</v>
      </c>
      <c r="G112" s="5">
        <v>0.2</v>
      </c>
      <c r="H112" s="5">
        <v>800</v>
      </c>
      <c r="I112" s="5">
        <v>1</v>
      </c>
      <c r="J112" s="5">
        <v>0</v>
      </c>
      <c r="K112" s="5">
        <v>29.288702928870293</v>
      </c>
      <c r="L112" s="5">
        <v>22.384937238493727</v>
      </c>
      <c r="M112" s="5">
        <v>28.451882845188287</v>
      </c>
      <c r="N112" s="5">
        <v>10.251046025104605</v>
      </c>
      <c r="O112" s="5">
        <v>2</v>
      </c>
      <c r="P112" t="s">
        <v>47</v>
      </c>
      <c r="Q112" t="s">
        <v>50</v>
      </c>
    </row>
    <row r="113" spans="1:17" x14ac:dyDescent="0.3">
      <c r="A113">
        <f t="shared" si="1"/>
        <v>112</v>
      </c>
      <c r="B113">
        <v>27.3</v>
      </c>
      <c r="C113" s="5">
        <v>4.8</v>
      </c>
      <c r="D113" s="5">
        <v>18.899999999999999</v>
      </c>
      <c r="E113" s="5">
        <v>7</v>
      </c>
      <c r="F113" s="5">
        <v>44</v>
      </c>
      <c r="G113" s="5">
        <v>0.2</v>
      </c>
      <c r="H113" s="5">
        <v>850</v>
      </c>
      <c r="I113" s="5">
        <v>1</v>
      </c>
      <c r="J113" s="5">
        <v>0</v>
      </c>
      <c r="K113" s="5">
        <v>31.357552581261949</v>
      </c>
      <c r="L113" s="5">
        <v>24.091778202676867</v>
      </c>
      <c r="M113" s="5">
        <v>24.856596558317403</v>
      </c>
      <c r="N113" s="5">
        <v>10.89866156787763</v>
      </c>
      <c r="O113" s="5">
        <v>2</v>
      </c>
      <c r="P113" t="s">
        <v>47</v>
      </c>
      <c r="Q113" t="s">
        <v>50</v>
      </c>
    </row>
    <row r="114" spans="1:17" x14ac:dyDescent="0.3">
      <c r="A114">
        <f t="shared" si="1"/>
        <v>113</v>
      </c>
      <c r="B114">
        <v>27.3</v>
      </c>
      <c r="C114" s="5">
        <v>4.8</v>
      </c>
      <c r="D114" s="5">
        <v>18.899999999999999</v>
      </c>
      <c r="E114" s="5">
        <v>7</v>
      </c>
      <c r="F114" s="5">
        <v>44</v>
      </c>
      <c r="G114" s="5">
        <v>0.3</v>
      </c>
      <c r="H114" s="5">
        <v>750</v>
      </c>
      <c r="I114" s="5">
        <v>1</v>
      </c>
      <c r="J114" s="5">
        <v>0</v>
      </c>
      <c r="K114" s="5">
        <v>21.776504297994265</v>
      </c>
      <c r="L114" s="5">
        <v>19.770773638968478</v>
      </c>
      <c r="M114" s="5">
        <v>40.401146131805149</v>
      </c>
      <c r="N114" s="5">
        <v>7.7363896848137523</v>
      </c>
      <c r="O114" s="5">
        <v>2.5</v>
      </c>
      <c r="P114" t="s">
        <v>47</v>
      </c>
      <c r="Q114" t="s">
        <v>50</v>
      </c>
    </row>
    <row r="115" spans="1:17" x14ac:dyDescent="0.3">
      <c r="A115">
        <f t="shared" si="1"/>
        <v>114</v>
      </c>
      <c r="B115">
        <v>27.3</v>
      </c>
      <c r="C115" s="5">
        <v>4.8</v>
      </c>
      <c r="D115" s="5">
        <v>18.899999999999999</v>
      </c>
      <c r="E115" s="5">
        <v>7</v>
      </c>
      <c r="F115" s="5">
        <v>44</v>
      </c>
      <c r="G115" s="5">
        <v>0.3</v>
      </c>
      <c r="H115" s="5">
        <v>800</v>
      </c>
      <c r="I115" s="5">
        <v>1</v>
      </c>
      <c r="J115" s="5">
        <v>0</v>
      </c>
      <c r="K115" s="5">
        <v>26.530612244897956</v>
      </c>
      <c r="L115" s="5">
        <v>20.408163265306122</v>
      </c>
      <c r="M115" s="5">
        <v>35.969387755102041</v>
      </c>
      <c r="N115" s="5">
        <v>7.6530612244897958</v>
      </c>
      <c r="O115" s="5">
        <v>2.5</v>
      </c>
      <c r="P115" t="s">
        <v>47</v>
      </c>
      <c r="Q115" t="s">
        <v>50</v>
      </c>
    </row>
    <row r="116" spans="1:17" x14ac:dyDescent="0.3">
      <c r="A116">
        <f t="shared" si="1"/>
        <v>115</v>
      </c>
      <c r="B116">
        <v>27.3</v>
      </c>
      <c r="C116" s="5">
        <v>4.8</v>
      </c>
      <c r="D116" s="5">
        <v>18.899999999999999</v>
      </c>
      <c r="E116" s="5">
        <v>7</v>
      </c>
      <c r="F116" s="5">
        <v>44</v>
      </c>
      <c r="G116" s="5">
        <v>0.3</v>
      </c>
      <c r="H116" s="5">
        <v>850</v>
      </c>
      <c r="I116" s="5">
        <v>1</v>
      </c>
      <c r="J116" s="5">
        <v>0</v>
      </c>
      <c r="K116" s="5">
        <v>2.6004728132387713</v>
      </c>
      <c r="L116" s="5">
        <v>23.877068557919625</v>
      </c>
      <c r="M116" s="5">
        <v>30.969267139479907</v>
      </c>
      <c r="N116" s="5">
        <v>7.8014184397163122</v>
      </c>
      <c r="O116" s="5">
        <v>2.6</v>
      </c>
      <c r="P116" t="s">
        <v>47</v>
      </c>
      <c r="Q116" t="s">
        <v>50</v>
      </c>
    </row>
    <row r="117" spans="1:17" x14ac:dyDescent="0.3">
      <c r="A117">
        <f t="shared" si="1"/>
        <v>116</v>
      </c>
      <c r="B117">
        <v>27.3</v>
      </c>
      <c r="C117" s="5">
        <v>4.8</v>
      </c>
      <c r="D117" s="5">
        <v>18.899999999999999</v>
      </c>
      <c r="E117" s="5">
        <v>7</v>
      </c>
      <c r="F117" s="5">
        <v>44</v>
      </c>
      <c r="G117" s="5">
        <v>0.4</v>
      </c>
      <c r="H117" s="5">
        <v>750</v>
      </c>
      <c r="I117" s="5">
        <v>1</v>
      </c>
      <c r="J117" s="5">
        <v>0</v>
      </c>
      <c r="K117" s="5">
        <v>12.749003984063748</v>
      </c>
      <c r="L117" s="5">
        <v>17.13147410358566</v>
      </c>
      <c r="M117" s="5">
        <v>56.175298804780887</v>
      </c>
      <c r="N117" s="5">
        <v>3.9840637450199212</v>
      </c>
      <c r="O117" s="5">
        <v>2.9</v>
      </c>
      <c r="P117" t="s">
        <v>47</v>
      </c>
      <c r="Q117" t="s">
        <v>50</v>
      </c>
    </row>
    <row r="118" spans="1:17" x14ac:dyDescent="0.3">
      <c r="A118">
        <f t="shared" si="1"/>
        <v>117</v>
      </c>
      <c r="B118">
        <v>27.3</v>
      </c>
      <c r="C118" s="5">
        <v>4.8</v>
      </c>
      <c r="D118" s="5">
        <v>18.899999999999999</v>
      </c>
      <c r="E118" s="5">
        <v>7</v>
      </c>
      <c r="F118" s="5">
        <v>44</v>
      </c>
      <c r="G118" s="5">
        <v>0.4</v>
      </c>
      <c r="H118" s="5">
        <v>800</v>
      </c>
      <c r="I118" s="5">
        <v>1</v>
      </c>
      <c r="J118" s="5">
        <v>0</v>
      </c>
      <c r="K118" s="5">
        <v>24.495677233429394</v>
      </c>
      <c r="L118" s="5">
        <v>19.884726224783861</v>
      </c>
      <c r="M118" s="5">
        <v>39.769452449567723</v>
      </c>
      <c r="N118" s="5">
        <v>6.9164265129682994</v>
      </c>
      <c r="O118" s="5">
        <v>3.1</v>
      </c>
      <c r="P118" t="s">
        <v>47</v>
      </c>
      <c r="Q118" t="s">
        <v>50</v>
      </c>
    </row>
    <row r="119" spans="1:17" x14ac:dyDescent="0.3">
      <c r="A119">
        <f t="shared" si="1"/>
        <v>118</v>
      </c>
      <c r="B119">
        <v>27.3</v>
      </c>
      <c r="C119" s="5">
        <v>4.8</v>
      </c>
      <c r="D119" s="5">
        <v>18.899999999999999</v>
      </c>
      <c r="E119" s="5">
        <v>7</v>
      </c>
      <c r="F119" s="5">
        <v>44</v>
      </c>
      <c r="G119" s="5">
        <v>0.4</v>
      </c>
      <c r="H119" s="5">
        <v>850</v>
      </c>
      <c r="I119" s="5">
        <v>1</v>
      </c>
      <c r="J119" s="5">
        <v>0</v>
      </c>
      <c r="K119" s="5">
        <v>26.430517711171657</v>
      </c>
      <c r="L119" s="5">
        <v>22.343324250681196</v>
      </c>
      <c r="M119" s="5">
        <v>37.602179836512256</v>
      </c>
      <c r="N119" s="5">
        <v>5.7220708446866482</v>
      </c>
      <c r="O119" s="5">
        <v>3.1</v>
      </c>
      <c r="P119" t="s">
        <v>47</v>
      </c>
      <c r="Q119" t="s">
        <v>50</v>
      </c>
    </row>
    <row r="120" spans="1:17" x14ac:dyDescent="0.3">
      <c r="A120">
        <f t="shared" si="1"/>
        <v>119</v>
      </c>
      <c r="B120">
        <v>27.3</v>
      </c>
      <c r="C120" s="5">
        <v>4.8</v>
      </c>
      <c r="D120" s="5">
        <v>18.899999999999999</v>
      </c>
      <c r="E120" s="5">
        <v>7</v>
      </c>
      <c r="F120" s="5">
        <v>44</v>
      </c>
      <c r="G120" s="5">
        <v>0.3</v>
      </c>
      <c r="H120" s="5">
        <v>750</v>
      </c>
      <c r="I120" s="5">
        <v>1</v>
      </c>
      <c r="J120" s="5">
        <v>0.5</v>
      </c>
      <c r="K120" s="5">
        <v>25.255102040816325</v>
      </c>
      <c r="L120" s="5">
        <v>19.642857142857142</v>
      </c>
      <c r="M120" s="5">
        <v>37.755102040816325</v>
      </c>
      <c r="N120" s="5">
        <v>7.1428571428571423</v>
      </c>
      <c r="O120" s="5">
        <v>2.4</v>
      </c>
      <c r="P120" t="s">
        <v>47</v>
      </c>
      <c r="Q120" t="s">
        <v>50</v>
      </c>
    </row>
    <row r="121" spans="1:17" x14ac:dyDescent="0.3">
      <c r="A121">
        <f t="shared" si="1"/>
        <v>120</v>
      </c>
      <c r="B121">
        <v>27.3</v>
      </c>
      <c r="C121" s="5">
        <v>4.8</v>
      </c>
      <c r="D121" s="5">
        <v>18.899999999999999</v>
      </c>
      <c r="E121" s="5">
        <v>7</v>
      </c>
      <c r="F121" s="5">
        <v>44</v>
      </c>
      <c r="G121" s="5">
        <v>0.3</v>
      </c>
      <c r="H121" s="5">
        <v>800</v>
      </c>
      <c r="I121" s="5">
        <v>1</v>
      </c>
      <c r="J121" s="5">
        <v>0.5</v>
      </c>
      <c r="K121" s="5">
        <v>26.96078431372549</v>
      </c>
      <c r="L121" s="5">
        <v>20.588235294117649</v>
      </c>
      <c r="M121" s="5">
        <v>36.274509803921568</v>
      </c>
      <c r="N121" s="5">
        <v>7.598039215686275</v>
      </c>
      <c r="O121" s="5">
        <v>2.6</v>
      </c>
      <c r="P121" t="s">
        <v>47</v>
      </c>
      <c r="Q121" t="s">
        <v>50</v>
      </c>
    </row>
    <row r="122" spans="1:17" x14ac:dyDescent="0.3">
      <c r="A122">
        <f t="shared" si="1"/>
        <v>121</v>
      </c>
      <c r="B122">
        <v>27.3</v>
      </c>
      <c r="C122" s="5">
        <v>4.8</v>
      </c>
      <c r="D122" s="5">
        <v>18.899999999999999</v>
      </c>
      <c r="E122" s="5">
        <v>7</v>
      </c>
      <c r="F122" s="5">
        <v>44</v>
      </c>
      <c r="G122" s="5">
        <v>0.3</v>
      </c>
      <c r="H122" s="5">
        <v>850</v>
      </c>
      <c r="I122" s="5">
        <v>1</v>
      </c>
      <c r="J122" s="5">
        <v>0.5</v>
      </c>
      <c r="K122" s="5">
        <v>33.549783549783548</v>
      </c>
      <c r="L122" s="5">
        <v>22.510822510822511</v>
      </c>
      <c r="M122" s="5">
        <v>30.519480519480517</v>
      </c>
      <c r="N122" s="5">
        <v>6.9264069264069263</v>
      </c>
      <c r="O122" s="5">
        <v>2.8</v>
      </c>
      <c r="P122" t="s">
        <v>47</v>
      </c>
      <c r="Q122" t="s">
        <v>50</v>
      </c>
    </row>
    <row r="123" spans="1:17" x14ac:dyDescent="0.3">
      <c r="A123">
        <f t="shared" si="1"/>
        <v>122</v>
      </c>
      <c r="B123">
        <v>27.3</v>
      </c>
      <c r="C123" s="5">
        <v>4.8</v>
      </c>
      <c r="D123" s="5">
        <v>18.899999999999999</v>
      </c>
      <c r="E123" s="5">
        <v>7</v>
      </c>
      <c r="F123" s="5">
        <v>44</v>
      </c>
      <c r="G123" s="5">
        <v>0.3</v>
      </c>
      <c r="H123" s="5">
        <v>750</v>
      </c>
      <c r="I123" s="5">
        <v>1</v>
      </c>
      <c r="J123" s="5">
        <v>1</v>
      </c>
      <c r="K123" s="5">
        <v>25.252525252525253</v>
      </c>
      <c r="L123" s="5">
        <v>19.696969696969695</v>
      </c>
      <c r="M123" s="5">
        <v>39.393939393939391</v>
      </c>
      <c r="N123" s="5">
        <v>7.3232323232323226</v>
      </c>
      <c r="O123" s="5">
        <v>2.5</v>
      </c>
      <c r="P123" t="s">
        <v>47</v>
      </c>
      <c r="Q123" t="s">
        <v>50</v>
      </c>
    </row>
    <row r="124" spans="1:17" x14ac:dyDescent="0.3">
      <c r="A124">
        <f t="shared" si="1"/>
        <v>123</v>
      </c>
      <c r="B124">
        <v>27.3</v>
      </c>
      <c r="C124" s="5">
        <v>4.8</v>
      </c>
      <c r="D124" s="5">
        <v>18.899999999999999</v>
      </c>
      <c r="E124" s="5">
        <v>7</v>
      </c>
      <c r="F124" s="5">
        <v>44</v>
      </c>
      <c r="G124" s="5">
        <v>0.3</v>
      </c>
      <c r="H124" s="5">
        <v>800</v>
      </c>
      <c r="I124" s="5">
        <v>1</v>
      </c>
      <c r="J124" s="5">
        <v>1</v>
      </c>
      <c r="K124" s="5">
        <v>28.91566265060241</v>
      </c>
      <c r="L124" s="5">
        <v>20.722891566265059</v>
      </c>
      <c r="M124" s="5">
        <v>36.626506024096386</v>
      </c>
      <c r="N124" s="5">
        <v>6.5060240963855422</v>
      </c>
      <c r="O124" s="5">
        <v>2.6</v>
      </c>
      <c r="P124" t="s">
        <v>47</v>
      </c>
      <c r="Q124" t="s">
        <v>50</v>
      </c>
    </row>
    <row r="125" spans="1:17" x14ac:dyDescent="0.3">
      <c r="A125">
        <f t="shared" si="1"/>
        <v>124</v>
      </c>
      <c r="B125">
        <v>27.3</v>
      </c>
      <c r="C125" s="5">
        <v>4.8</v>
      </c>
      <c r="D125" s="5">
        <v>18.899999999999999</v>
      </c>
      <c r="E125" s="5">
        <v>7</v>
      </c>
      <c r="F125" s="5">
        <v>44</v>
      </c>
      <c r="G125" s="5">
        <v>0.3</v>
      </c>
      <c r="H125" s="5">
        <v>850</v>
      </c>
      <c r="I125" s="5">
        <v>1</v>
      </c>
      <c r="J125" s="5">
        <v>1</v>
      </c>
      <c r="K125" s="5">
        <v>34.32835820895523</v>
      </c>
      <c r="L125" s="5">
        <v>21.535181236673775</v>
      </c>
      <c r="M125" s="5">
        <v>31.343283582089555</v>
      </c>
      <c r="N125" s="5">
        <v>6.3965884861407254</v>
      </c>
      <c r="O125" s="5">
        <v>2.8</v>
      </c>
      <c r="P125" t="s">
        <v>47</v>
      </c>
      <c r="Q125" t="s">
        <v>50</v>
      </c>
    </row>
    <row r="126" spans="1:17" x14ac:dyDescent="0.3">
      <c r="A126">
        <f t="shared" si="1"/>
        <v>125</v>
      </c>
      <c r="B126">
        <v>46.85</v>
      </c>
      <c r="C126" s="5">
        <v>6.0905000000000005</v>
      </c>
      <c r="D126" s="5">
        <v>34.013100000000001</v>
      </c>
      <c r="E126" s="5">
        <v>7.6</v>
      </c>
      <c r="F126" s="5">
        <v>6.3</v>
      </c>
      <c r="G126" s="5">
        <v>0.17</v>
      </c>
      <c r="H126" s="5">
        <v>700</v>
      </c>
      <c r="I126" s="5">
        <v>2</v>
      </c>
      <c r="J126" s="5">
        <v>0</v>
      </c>
      <c r="K126" s="5">
        <v>24</v>
      </c>
      <c r="L126" s="5">
        <v>28</v>
      </c>
      <c r="M126" s="5">
        <v>36</v>
      </c>
      <c r="N126" s="5">
        <v>12</v>
      </c>
      <c r="O126" s="5">
        <v>1.4916221655053796</v>
      </c>
      <c r="P126" t="s">
        <v>31</v>
      </c>
      <c r="Q126" t="s">
        <v>51</v>
      </c>
    </row>
    <row r="127" spans="1:17" x14ac:dyDescent="0.3">
      <c r="A127">
        <f t="shared" si="1"/>
        <v>126</v>
      </c>
      <c r="B127">
        <v>46.85</v>
      </c>
      <c r="C127" s="5">
        <v>6.0905000000000005</v>
      </c>
      <c r="D127" s="5">
        <v>34.013100000000001</v>
      </c>
      <c r="E127" s="5">
        <v>7.6</v>
      </c>
      <c r="F127" s="5">
        <v>6.3</v>
      </c>
      <c r="G127" s="5">
        <v>0.2</v>
      </c>
      <c r="H127" s="5">
        <v>740</v>
      </c>
      <c r="I127" s="5">
        <v>2</v>
      </c>
      <c r="J127" s="5">
        <v>0</v>
      </c>
      <c r="K127" s="5">
        <v>23.913043478260871</v>
      </c>
      <c r="L127" s="5">
        <v>26.086956521739129</v>
      </c>
      <c r="M127" s="5">
        <v>36.956521739130437</v>
      </c>
      <c r="N127" s="5">
        <v>13.043478260869565</v>
      </c>
      <c r="O127" s="5">
        <v>1.5742456155120685</v>
      </c>
      <c r="P127" t="s">
        <v>31</v>
      </c>
      <c r="Q127" t="s">
        <v>51</v>
      </c>
    </row>
    <row r="128" spans="1:17" x14ac:dyDescent="0.3">
      <c r="A128">
        <f t="shared" si="1"/>
        <v>127</v>
      </c>
      <c r="B128">
        <v>46.85</v>
      </c>
      <c r="C128" s="5">
        <v>6.0905000000000005</v>
      </c>
      <c r="D128" s="5">
        <v>34.013100000000001</v>
      </c>
      <c r="E128" s="5">
        <v>7.6</v>
      </c>
      <c r="F128" s="5">
        <v>6.3</v>
      </c>
      <c r="G128" s="5">
        <v>0.22</v>
      </c>
      <c r="H128" s="5">
        <v>750</v>
      </c>
      <c r="I128" s="5">
        <v>2</v>
      </c>
      <c r="J128" s="5">
        <v>0</v>
      </c>
      <c r="K128" s="5">
        <v>23.529411764705884</v>
      </c>
      <c r="L128" s="5">
        <v>23.529411764705884</v>
      </c>
      <c r="M128" s="5">
        <v>39.215686274509807</v>
      </c>
      <c r="N128" s="5">
        <v>13.725490196078431</v>
      </c>
      <c r="O128" s="5">
        <v>1.6614477660368803</v>
      </c>
      <c r="P128" t="s">
        <v>31</v>
      </c>
      <c r="Q128" t="s">
        <v>51</v>
      </c>
    </row>
    <row r="129" spans="1:17" x14ac:dyDescent="0.3">
      <c r="A129">
        <f t="shared" si="1"/>
        <v>128</v>
      </c>
      <c r="B129">
        <v>46.85</v>
      </c>
      <c r="C129" s="5">
        <v>6.0905000000000005</v>
      </c>
      <c r="D129" s="5">
        <v>34.013100000000001</v>
      </c>
      <c r="E129" s="5">
        <v>7.6</v>
      </c>
      <c r="F129" s="5">
        <v>6.3</v>
      </c>
      <c r="G129" s="5">
        <v>0.23</v>
      </c>
      <c r="H129" s="5">
        <v>760</v>
      </c>
      <c r="I129" s="5">
        <v>2</v>
      </c>
      <c r="J129" s="5">
        <v>0</v>
      </c>
      <c r="K129" s="5">
        <v>26.666666666666668</v>
      </c>
      <c r="L129" s="5">
        <v>20</v>
      </c>
      <c r="M129" s="5">
        <v>37.777777777777779</v>
      </c>
      <c r="N129" s="5">
        <v>15.555555555555555</v>
      </c>
      <c r="O129" s="5">
        <v>1.59777374291782</v>
      </c>
      <c r="P129" t="s">
        <v>31</v>
      </c>
      <c r="Q129" t="s">
        <v>51</v>
      </c>
    </row>
    <row r="130" spans="1:17" x14ac:dyDescent="0.3">
      <c r="A130">
        <f t="shared" si="1"/>
        <v>129</v>
      </c>
      <c r="B130">
        <v>46.85</v>
      </c>
      <c r="C130" s="5">
        <v>6.0905000000000005</v>
      </c>
      <c r="D130" s="5">
        <v>34.013100000000001</v>
      </c>
      <c r="E130" s="5">
        <v>7.6</v>
      </c>
      <c r="F130" s="5">
        <v>6.3</v>
      </c>
      <c r="G130" s="5">
        <v>0.4</v>
      </c>
      <c r="H130" s="5">
        <v>785</v>
      </c>
      <c r="I130" s="5">
        <v>2</v>
      </c>
      <c r="J130" s="5">
        <v>0</v>
      </c>
      <c r="K130" s="5">
        <v>19.047619047619047</v>
      </c>
      <c r="L130" s="5">
        <v>23.80952380952381</v>
      </c>
      <c r="M130" s="5">
        <v>40.476190476190474</v>
      </c>
      <c r="N130" s="5">
        <v>16.666666666666668</v>
      </c>
      <c r="O130" s="5">
        <v>1.8110669124543193</v>
      </c>
      <c r="P130" t="s">
        <v>31</v>
      </c>
      <c r="Q130" t="s">
        <v>51</v>
      </c>
    </row>
    <row r="131" spans="1:17" x14ac:dyDescent="0.3">
      <c r="A131">
        <f t="shared" si="1"/>
        <v>130</v>
      </c>
      <c r="B131">
        <v>46.85</v>
      </c>
      <c r="C131" s="5">
        <v>6.0905000000000005</v>
      </c>
      <c r="D131" s="5">
        <v>34.013100000000001</v>
      </c>
      <c r="E131" s="5">
        <v>7.6</v>
      </c>
      <c r="F131" s="5">
        <v>6.3</v>
      </c>
      <c r="G131" s="5">
        <v>0.28999999999999998</v>
      </c>
      <c r="H131" s="5">
        <v>780</v>
      </c>
      <c r="I131" s="5">
        <v>2</v>
      </c>
      <c r="J131" s="5">
        <v>0</v>
      </c>
      <c r="K131" s="5">
        <v>22.727272727272727</v>
      </c>
      <c r="L131" s="5">
        <v>29.545454545454547</v>
      </c>
      <c r="M131" s="5">
        <v>36.363636363636367</v>
      </c>
      <c r="N131" s="5">
        <v>11.363636363636363</v>
      </c>
      <c r="O131" s="5">
        <v>2.0084465121818376</v>
      </c>
      <c r="P131" t="s">
        <v>31</v>
      </c>
      <c r="Q131" t="s">
        <v>51</v>
      </c>
    </row>
    <row r="132" spans="1:17" x14ac:dyDescent="0.3">
      <c r="A132">
        <f t="shared" ref="A132:A195" si="2">A131+1</f>
        <v>131</v>
      </c>
      <c r="B132">
        <v>46.85</v>
      </c>
      <c r="C132" s="5">
        <v>6.0905000000000005</v>
      </c>
      <c r="D132" s="5">
        <v>34.013100000000001</v>
      </c>
      <c r="E132" s="5">
        <v>7.6</v>
      </c>
      <c r="F132" s="5">
        <v>6.3</v>
      </c>
      <c r="G132" s="5">
        <v>0.31</v>
      </c>
      <c r="H132" s="5">
        <v>820</v>
      </c>
      <c r="I132" s="5">
        <v>2</v>
      </c>
      <c r="J132" s="5">
        <v>0</v>
      </c>
      <c r="K132" s="5">
        <v>20.454545454545453</v>
      </c>
      <c r="L132" s="5">
        <v>31.818181818181817</v>
      </c>
      <c r="M132" s="5">
        <v>36.363636363636367</v>
      </c>
      <c r="N132" s="5">
        <v>11.363636363636363</v>
      </c>
      <c r="O132" s="5">
        <v>1.9571124160238353</v>
      </c>
      <c r="P132" t="s">
        <v>31</v>
      </c>
      <c r="Q132" t="s">
        <v>51</v>
      </c>
    </row>
    <row r="133" spans="1:17" x14ac:dyDescent="0.3">
      <c r="A133">
        <f t="shared" si="2"/>
        <v>132</v>
      </c>
      <c r="B133">
        <v>37.6</v>
      </c>
      <c r="C133" s="5">
        <v>5.42</v>
      </c>
      <c r="D133" s="5">
        <v>33.200000000000003</v>
      </c>
      <c r="E133" s="5">
        <v>9.08</v>
      </c>
      <c r="F133" s="5">
        <v>23.4</v>
      </c>
      <c r="G133" s="5">
        <v>0.25</v>
      </c>
      <c r="H133" s="5">
        <v>665</v>
      </c>
      <c r="I133" s="5">
        <v>4</v>
      </c>
      <c r="J133" s="5">
        <v>0</v>
      </c>
      <c r="K133" s="5">
        <v>9.2102233479161875</v>
      </c>
      <c r="L133" s="5">
        <v>45.820861155883023</v>
      </c>
      <c r="M133" s="5">
        <v>33.271931844347229</v>
      </c>
      <c r="N133" s="5">
        <v>6.6774119272392358</v>
      </c>
      <c r="O133" s="5">
        <v>2.1537885427639023</v>
      </c>
      <c r="P133" t="s">
        <v>34</v>
      </c>
      <c r="Q133" t="s">
        <v>52</v>
      </c>
    </row>
    <row r="134" spans="1:17" x14ac:dyDescent="0.3">
      <c r="A134">
        <f t="shared" si="2"/>
        <v>133</v>
      </c>
      <c r="B134">
        <v>37.6</v>
      </c>
      <c r="C134" s="5">
        <v>5.42</v>
      </c>
      <c r="D134" s="5">
        <v>33.200000000000003</v>
      </c>
      <c r="E134" s="5">
        <v>9.08</v>
      </c>
      <c r="F134" s="5">
        <v>23.4</v>
      </c>
      <c r="G134" s="5">
        <v>0.3</v>
      </c>
      <c r="H134" s="5">
        <v>744</v>
      </c>
      <c r="I134" s="5">
        <v>4</v>
      </c>
      <c r="J134" s="5">
        <v>0</v>
      </c>
      <c r="K134" s="5">
        <v>9.7674418604651159</v>
      </c>
      <c r="L134" s="5">
        <v>38.63049095607235</v>
      </c>
      <c r="M134" s="5">
        <v>41.937984496124031</v>
      </c>
      <c r="N134" s="5">
        <v>6.1240310077519373</v>
      </c>
      <c r="O134" s="5">
        <v>2.4840361193210336</v>
      </c>
      <c r="P134" t="s">
        <v>34</v>
      </c>
      <c r="Q134" t="s">
        <v>52</v>
      </c>
    </row>
    <row r="135" spans="1:17" x14ac:dyDescent="0.3">
      <c r="A135">
        <f t="shared" si="2"/>
        <v>134</v>
      </c>
      <c r="B135">
        <v>37.6</v>
      </c>
      <c r="C135" s="5">
        <v>5.42</v>
      </c>
      <c r="D135" s="5">
        <v>33.200000000000003</v>
      </c>
      <c r="E135" s="5">
        <v>9.08</v>
      </c>
      <c r="F135" s="5">
        <v>23.4</v>
      </c>
      <c r="G135" s="5">
        <v>0.35</v>
      </c>
      <c r="H135" s="5">
        <v>811</v>
      </c>
      <c r="I135" s="5">
        <v>4</v>
      </c>
      <c r="J135" s="5">
        <v>0</v>
      </c>
      <c r="K135" s="5">
        <v>9.3106289480911855</v>
      </c>
      <c r="L135" s="5">
        <v>35.017852238396046</v>
      </c>
      <c r="M135" s="5">
        <v>47.074979401263391</v>
      </c>
      <c r="N135" s="5">
        <v>5.4380664652567985</v>
      </c>
      <c r="O135" s="5">
        <v>2.8430008764483508</v>
      </c>
      <c r="P135" t="s">
        <v>34</v>
      </c>
      <c r="Q135" t="s">
        <v>52</v>
      </c>
    </row>
    <row r="136" spans="1:17" x14ac:dyDescent="0.3">
      <c r="A136">
        <f t="shared" si="2"/>
        <v>135</v>
      </c>
      <c r="B136">
        <v>37.6</v>
      </c>
      <c r="C136" s="5">
        <v>5.42</v>
      </c>
      <c r="D136" s="5">
        <v>33.200000000000003</v>
      </c>
      <c r="E136" s="5">
        <v>9.08</v>
      </c>
      <c r="F136" s="5">
        <v>23.4</v>
      </c>
      <c r="G136" s="5">
        <v>0.35</v>
      </c>
      <c r="H136" s="5">
        <v>670</v>
      </c>
      <c r="I136" s="5">
        <v>4</v>
      </c>
      <c r="J136" s="5">
        <v>0</v>
      </c>
      <c r="K136" s="5">
        <v>9.2994573260976807</v>
      </c>
      <c r="L136" s="5">
        <v>45.115934879131721</v>
      </c>
      <c r="M136" s="5">
        <v>35.76714356191416</v>
      </c>
      <c r="N136" s="5">
        <v>5.8214109521460289</v>
      </c>
      <c r="O136" s="5">
        <v>2.1394299524788094</v>
      </c>
      <c r="P136" t="s">
        <v>34</v>
      </c>
      <c r="Q136" t="s">
        <v>52</v>
      </c>
    </row>
    <row r="137" spans="1:17" x14ac:dyDescent="0.3">
      <c r="A137">
        <f t="shared" si="2"/>
        <v>136</v>
      </c>
      <c r="B137">
        <v>37.6</v>
      </c>
      <c r="C137" s="5">
        <v>5.42</v>
      </c>
      <c r="D137" s="5">
        <v>33.200000000000003</v>
      </c>
      <c r="E137" s="5">
        <v>9.08</v>
      </c>
      <c r="F137" s="5">
        <v>23.4</v>
      </c>
      <c r="G137" s="5">
        <v>0.3</v>
      </c>
      <c r="H137" s="5">
        <v>750</v>
      </c>
      <c r="I137" s="5">
        <v>4</v>
      </c>
      <c r="J137" s="5">
        <v>0</v>
      </c>
      <c r="K137" s="5">
        <v>9.0473656200106447</v>
      </c>
      <c r="L137" s="5">
        <v>38.398084087280473</v>
      </c>
      <c r="M137" s="5">
        <v>43.79989356040447</v>
      </c>
      <c r="N137" s="5">
        <v>5.3219797764768497</v>
      </c>
      <c r="O137" s="5">
        <v>2.4553189387508483</v>
      </c>
      <c r="P137" t="s">
        <v>34</v>
      </c>
      <c r="Q137" t="s">
        <v>52</v>
      </c>
    </row>
    <row r="138" spans="1:17" x14ac:dyDescent="0.3">
      <c r="A138">
        <f t="shared" si="2"/>
        <v>137</v>
      </c>
      <c r="B138">
        <v>37.6</v>
      </c>
      <c r="C138" s="5">
        <v>5.42</v>
      </c>
      <c r="D138" s="5">
        <v>33.200000000000003</v>
      </c>
      <c r="E138" s="5">
        <v>9.08</v>
      </c>
      <c r="F138" s="5">
        <v>23.4</v>
      </c>
      <c r="G138" s="5">
        <v>0.35</v>
      </c>
      <c r="H138" s="5">
        <v>822</v>
      </c>
      <c r="I138" s="5">
        <v>4</v>
      </c>
      <c r="J138" s="5">
        <v>0</v>
      </c>
      <c r="K138" s="5">
        <v>9.0833101142379498</v>
      </c>
      <c r="L138" s="5">
        <v>34.828643076065752</v>
      </c>
      <c r="M138" s="5">
        <v>48.007801616049036</v>
      </c>
      <c r="N138" s="5">
        <v>5.1546391752577323</v>
      </c>
      <c r="O138" s="5">
        <v>2.8286422861632583</v>
      </c>
      <c r="P138" t="s">
        <v>34</v>
      </c>
      <c r="Q138" t="s">
        <v>52</v>
      </c>
    </row>
    <row r="139" spans="1:17" x14ac:dyDescent="0.3">
      <c r="A139">
        <f t="shared" si="2"/>
        <v>138</v>
      </c>
      <c r="B139">
        <v>37.6</v>
      </c>
      <c r="C139" s="5">
        <v>5.42</v>
      </c>
      <c r="D139" s="5">
        <v>33.200000000000003</v>
      </c>
      <c r="E139" s="5">
        <v>9.08</v>
      </c>
      <c r="F139" s="5">
        <v>23.4</v>
      </c>
      <c r="G139" s="5">
        <v>0.35</v>
      </c>
      <c r="H139" s="5">
        <v>700</v>
      </c>
      <c r="I139" s="5">
        <v>4</v>
      </c>
      <c r="J139" s="5">
        <v>0</v>
      </c>
      <c r="K139" s="5">
        <v>9.2487116897206416</v>
      </c>
      <c r="L139" s="5">
        <v>41.036072687822077</v>
      </c>
      <c r="M139" s="5">
        <v>40.195280716029295</v>
      </c>
      <c r="N139" s="5">
        <v>5.4244643341470038</v>
      </c>
      <c r="O139" s="5">
        <v>1.8666167370620486</v>
      </c>
      <c r="P139" t="s">
        <v>34</v>
      </c>
      <c r="Q139" t="s">
        <v>52</v>
      </c>
    </row>
    <row r="140" spans="1:17" x14ac:dyDescent="0.3">
      <c r="A140">
        <f t="shared" si="2"/>
        <v>139</v>
      </c>
      <c r="B140">
        <v>37.6</v>
      </c>
      <c r="C140" s="5">
        <v>5.42</v>
      </c>
      <c r="D140" s="5">
        <v>33.200000000000003</v>
      </c>
      <c r="E140" s="5">
        <v>9.08</v>
      </c>
      <c r="F140" s="5">
        <v>23.4</v>
      </c>
      <c r="G140" s="5">
        <v>0.3</v>
      </c>
      <c r="H140" s="5">
        <v>766</v>
      </c>
      <c r="I140" s="5">
        <v>4</v>
      </c>
      <c r="J140" s="5">
        <v>0</v>
      </c>
      <c r="K140" s="5">
        <v>9.2171016102165453</v>
      </c>
      <c r="L140" s="5">
        <v>36.091060521932256</v>
      </c>
      <c r="M140" s="5">
        <v>46.14103275957801</v>
      </c>
      <c r="N140" s="5">
        <v>5.3026096612992779</v>
      </c>
      <c r="O140" s="5">
        <v>2.1537885427639023</v>
      </c>
      <c r="P140" t="s">
        <v>34</v>
      </c>
      <c r="Q140" t="s">
        <v>52</v>
      </c>
    </row>
    <row r="141" spans="1:17" x14ac:dyDescent="0.3">
      <c r="A141">
        <f t="shared" si="2"/>
        <v>140</v>
      </c>
      <c r="B141">
        <v>37.6</v>
      </c>
      <c r="C141" s="5">
        <v>5.42</v>
      </c>
      <c r="D141" s="5">
        <v>33.200000000000003</v>
      </c>
      <c r="E141" s="5">
        <v>9.08</v>
      </c>
      <c r="F141" s="5">
        <v>23.4</v>
      </c>
      <c r="G141" s="5">
        <v>0.35</v>
      </c>
      <c r="H141" s="5">
        <v>828</v>
      </c>
      <c r="I141" s="5">
        <v>4</v>
      </c>
      <c r="J141" s="5">
        <v>0</v>
      </c>
      <c r="K141" s="5">
        <v>9.0807488125174611</v>
      </c>
      <c r="L141" s="5">
        <v>34.339200894104493</v>
      </c>
      <c r="M141" s="5">
        <v>48.672813635093597</v>
      </c>
      <c r="N141" s="5">
        <v>5.1411008661637316</v>
      </c>
      <c r="O141" s="5">
        <v>2.4409603484657558</v>
      </c>
      <c r="P141" t="s">
        <v>34</v>
      </c>
      <c r="Q141" t="s">
        <v>52</v>
      </c>
    </row>
    <row r="142" spans="1:17" x14ac:dyDescent="0.3">
      <c r="A142">
        <f t="shared" si="2"/>
        <v>141</v>
      </c>
      <c r="B142">
        <v>49</v>
      </c>
      <c r="C142" s="5">
        <v>6.1</v>
      </c>
      <c r="D142" s="5">
        <v>44.4</v>
      </c>
      <c r="E142" s="5">
        <v>7</v>
      </c>
      <c r="F142" s="5">
        <v>0.4</v>
      </c>
      <c r="G142" s="5">
        <v>0.21</v>
      </c>
      <c r="H142" s="5">
        <v>700</v>
      </c>
      <c r="I142" s="5">
        <v>4</v>
      </c>
      <c r="J142" s="5">
        <v>0</v>
      </c>
      <c r="K142" s="5">
        <v>22.05</v>
      </c>
      <c r="L142" s="5">
        <v>29.87</v>
      </c>
      <c r="M142" s="5">
        <v>34.19</v>
      </c>
      <c r="N142" s="5">
        <v>9.51</v>
      </c>
      <c r="O142" s="5">
        <v>0.69093578615537421</v>
      </c>
      <c r="P142" t="s">
        <v>53</v>
      </c>
      <c r="Q142" t="s">
        <v>54</v>
      </c>
    </row>
    <row r="143" spans="1:17" x14ac:dyDescent="0.3">
      <c r="A143">
        <f t="shared" si="2"/>
        <v>142</v>
      </c>
      <c r="B143">
        <v>49</v>
      </c>
      <c r="C143" s="5">
        <v>6.1</v>
      </c>
      <c r="D143" s="5">
        <v>44.4</v>
      </c>
      <c r="E143" s="5">
        <v>7</v>
      </c>
      <c r="F143" s="5">
        <v>0.4</v>
      </c>
      <c r="G143" s="5">
        <v>0.21</v>
      </c>
      <c r="H143" s="5">
        <v>700</v>
      </c>
      <c r="I143" s="5">
        <v>4</v>
      </c>
      <c r="J143" s="5">
        <v>0</v>
      </c>
      <c r="K143" s="5">
        <v>20.27</v>
      </c>
      <c r="L143" s="5">
        <v>30.61</v>
      </c>
      <c r="M143" s="5">
        <v>34.729999999999997</v>
      </c>
      <c r="N143" s="5">
        <v>10.18</v>
      </c>
      <c r="O143" s="5">
        <v>0.96083257762231722</v>
      </c>
      <c r="P143" t="s">
        <v>53</v>
      </c>
      <c r="Q143" t="s">
        <v>54</v>
      </c>
    </row>
    <row r="144" spans="1:17" x14ac:dyDescent="0.3">
      <c r="A144">
        <f t="shared" si="2"/>
        <v>143</v>
      </c>
      <c r="B144">
        <v>49</v>
      </c>
      <c r="C144" s="5">
        <v>6.1</v>
      </c>
      <c r="D144" s="5">
        <v>44.4</v>
      </c>
      <c r="E144" s="5">
        <v>7</v>
      </c>
      <c r="F144" s="5">
        <v>0.4</v>
      </c>
      <c r="G144" s="5">
        <v>0.21</v>
      </c>
      <c r="H144" s="5">
        <v>700</v>
      </c>
      <c r="I144" s="5">
        <v>4</v>
      </c>
      <c r="J144" s="5">
        <v>0</v>
      </c>
      <c r="K144" s="5">
        <v>21.54</v>
      </c>
      <c r="L144" s="5">
        <v>31.29</v>
      </c>
      <c r="M144" s="5">
        <v>34.590000000000003</v>
      </c>
      <c r="N144" s="5">
        <v>9.76</v>
      </c>
      <c r="O144" s="5">
        <v>0.93924083430496175</v>
      </c>
      <c r="P144" t="s">
        <v>53</v>
      </c>
      <c r="Q144" t="s">
        <v>54</v>
      </c>
    </row>
    <row r="145" spans="1:17" x14ac:dyDescent="0.3">
      <c r="A145">
        <f t="shared" si="2"/>
        <v>144</v>
      </c>
      <c r="B145">
        <v>49</v>
      </c>
      <c r="C145" s="5">
        <v>6.1</v>
      </c>
      <c r="D145" s="5">
        <v>44.4</v>
      </c>
      <c r="E145" s="5">
        <v>7</v>
      </c>
      <c r="F145" s="5">
        <v>0.4</v>
      </c>
      <c r="G145" s="5">
        <v>0.25</v>
      </c>
      <c r="H145" s="5">
        <v>750</v>
      </c>
      <c r="I145" s="5">
        <v>4</v>
      </c>
      <c r="J145" s="5">
        <v>0</v>
      </c>
      <c r="K145" s="5">
        <v>18.059999999999999</v>
      </c>
      <c r="L145" s="5">
        <v>34.83</v>
      </c>
      <c r="M145" s="5">
        <v>31.88</v>
      </c>
      <c r="N145" s="5">
        <v>10.19</v>
      </c>
      <c r="O145" s="5">
        <v>1.0795871658677723</v>
      </c>
      <c r="P145" t="s">
        <v>53</v>
      </c>
      <c r="Q145" t="s">
        <v>54</v>
      </c>
    </row>
    <row r="146" spans="1:17" x14ac:dyDescent="0.3">
      <c r="A146">
        <f t="shared" si="2"/>
        <v>145</v>
      </c>
      <c r="B146">
        <v>49</v>
      </c>
      <c r="C146" s="5">
        <v>6.1</v>
      </c>
      <c r="D146" s="5">
        <v>44.4</v>
      </c>
      <c r="E146" s="5">
        <v>7</v>
      </c>
      <c r="F146" s="5">
        <v>0.4</v>
      </c>
      <c r="G146" s="5">
        <v>0.24</v>
      </c>
      <c r="H146" s="5">
        <v>750</v>
      </c>
      <c r="I146" s="5">
        <v>4</v>
      </c>
      <c r="J146" s="5">
        <v>0</v>
      </c>
      <c r="K146" s="5">
        <v>18.93</v>
      </c>
      <c r="L146" s="5">
        <v>33.69</v>
      </c>
      <c r="M146" s="5">
        <v>32.42</v>
      </c>
      <c r="N146" s="5">
        <v>10.02</v>
      </c>
      <c r="O146" s="5">
        <v>1.0471995508917389</v>
      </c>
      <c r="P146" t="s">
        <v>53</v>
      </c>
      <c r="Q146" t="s">
        <v>54</v>
      </c>
    </row>
    <row r="147" spans="1:17" x14ac:dyDescent="0.3">
      <c r="A147">
        <f t="shared" si="2"/>
        <v>146</v>
      </c>
      <c r="B147">
        <v>49</v>
      </c>
      <c r="C147" s="5">
        <v>6.1</v>
      </c>
      <c r="D147" s="5">
        <v>44.4</v>
      </c>
      <c r="E147" s="5">
        <v>7</v>
      </c>
      <c r="F147" s="5">
        <v>0.4</v>
      </c>
      <c r="G147" s="5">
        <v>0.24</v>
      </c>
      <c r="H147" s="5">
        <v>750</v>
      </c>
      <c r="I147" s="5">
        <v>4</v>
      </c>
      <c r="J147" s="5">
        <v>0</v>
      </c>
      <c r="K147" s="5">
        <v>20.2</v>
      </c>
      <c r="L147" s="5">
        <v>31.92</v>
      </c>
      <c r="M147" s="5">
        <v>33.19</v>
      </c>
      <c r="N147" s="5">
        <v>9.84</v>
      </c>
      <c r="O147" s="5">
        <v>1.0579954225504167</v>
      </c>
      <c r="P147" t="s">
        <v>53</v>
      </c>
      <c r="Q147" t="s">
        <v>54</v>
      </c>
    </row>
    <row r="148" spans="1:17" x14ac:dyDescent="0.3">
      <c r="A148">
        <f t="shared" si="2"/>
        <v>147</v>
      </c>
      <c r="B148">
        <v>49</v>
      </c>
      <c r="C148" s="5">
        <v>6.1</v>
      </c>
      <c r="D148" s="5">
        <v>44.4</v>
      </c>
      <c r="E148" s="5">
        <v>7</v>
      </c>
      <c r="F148" s="5">
        <v>0.4</v>
      </c>
      <c r="G148" s="5">
        <v>0.23</v>
      </c>
      <c r="H148" s="5">
        <v>800</v>
      </c>
      <c r="I148" s="5">
        <v>4</v>
      </c>
      <c r="J148" s="5">
        <v>0</v>
      </c>
      <c r="K148" s="5">
        <v>19.87</v>
      </c>
      <c r="L148" s="5">
        <v>36.630000000000003</v>
      </c>
      <c r="M148" s="5">
        <v>29.73</v>
      </c>
      <c r="N148" s="5">
        <v>9.81</v>
      </c>
      <c r="O148" s="5">
        <v>1.1227706525024832</v>
      </c>
      <c r="P148" t="s">
        <v>53</v>
      </c>
      <c r="Q148" t="s">
        <v>54</v>
      </c>
    </row>
    <row r="149" spans="1:17" x14ac:dyDescent="0.3">
      <c r="A149">
        <f t="shared" si="2"/>
        <v>148</v>
      </c>
      <c r="B149">
        <v>49</v>
      </c>
      <c r="C149" s="5">
        <v>6.1</v>
      </c>
      <c r="D149" s="5">
        <v>44.4</v>
      </c>
      <c r="E149" s="5">
        <v>7</v>
      </c>
      <c r="F149" s="5">
        <v>0.4</v>
      </c>
      <c r="G149" s="5">
        <v>0.23</v>
      </c>
      <c r="H149" s="5">
        <v>800</v>
      </c>
      <c r="I149" s="5">
        <v>4</v>
      </c>
      <c r="J149" s="5">
        <v>0</v>
      </c>
      <c r="K149" s="5">
        <v>20.75</v>
      </c>
      <c r="L149" s="5">
        <v>34.159999999999997</v>
      </c>
      <c r="M149" s="5">
        <v>31.82</v>
      </c>
      <c r="N149" s="5">
        <v>9.5</v>
      </c>
      <c r="O149" s="5">
        <v>1.0903830375264498</v>
      </c>
      <c r="P149" t="s">
        <v>53</v>
      </c>
      <c r="Q149" t="s">
        <v>54</v>
      </c>
    </row>
    <row r="150" spans="1:17" x14ac:dyDescent="0.3">
      <c r="A150">
        <f t="shared" si="2"/>
        <v>149</v>
      </c>
      <c r="B150">
        <v>49</v>
      </c>
      <c r="C150" s="5">
        <v>6.1</v>
      </c>
      <c r="D150" s="5">
        <v>44.4</v>
      </c>
      <c r="E150" s="5">
        <v>7</v>
      </c>
      <c r="F150" s="5">
        <v>0.4</v>
      </c>
      <c r="G150" s="5">
        <v>0.22</v>
      </c>
      <c r="H150" s="5">
        <v>800</v>
      </c>
      <c r="I150" s="5">
        <v>4</v>
      </c>
      <c r="J150" s="5">
        <v>0</v>
      </c>
      <c r="K150" s="5">
        <v>19.87</v>
      </c>
      <c r="L150" s="5">
        <v>36.630000000000003</v>
      </c>
      <c r="M150" s="5">
        <v>29.73</v>
      </c>
      <c r="N150" s="5">
        <v>9.81</v>
      </c>
      <c r="O150" s="5">
        <v>1.0903830375264498</v>
      </c>
      <c r="P150" t="s">
        <v>53</v>
      </c>
      <c r="Q150" t="s">
        <v>54</v>
      </c>
    </row>
    <row r="151" spans="1:17" x14ac:dyDescent="0.3">
      <c r="A151">
        <f t="shared" si="2"/>
        <v>150</v>
      </c>
      <c r="B151">
        <v>48.11</v>
      </c>
      <c r="C151" s="5">
        <v>5.58</v>
      </c>
      <c r="D151" s="5">
        <v>39.42</v>
      </c>
      <c r="E151" s="5">
        <v>7.03</v>
      </c>
      <c r="F151" s="5">
        <v>6.1</v>
      </c>
      <c r="G151" s="5">
        <v>0.3</v>
      </c>
      <c r="H151" s="5">
        <v>826</v>
      </c>
      <c r="I151" s="5">
        <v>1</v>
      </c>
      <c r="J151" s="5">
        <v>0</v>
      </c>
      <c r="K151" s="5">
        <v>19.547511312217193</v>
      </c>
      <c r="L151" s="5">
        <v>42.782805429864254</v>
      </c>
      <c r="M151" s="5">
        <v>28.303167420814479</v>
      </c>
      <c r="N151" s="5">
        <v>6.6063348416289589</v>
      </c>
      <c r="O151" s="5">
        <v>2.17</v>
      </c>
      <c r="P151" t="s">
        <v>55</v>
      </c>
      <c r="Q151" t="s">
        <v>56</v>
      </c>
    </row>
    <row r="152" spans="1:17" x14ac:dyDescent="0.3">
      <c r="A152">
        <f t="shared" si="2"/>
        <v>151</v>
      </c>
      <c r="B152">
        <v>48.11</v>
      </c>
      <c r="C152" s="5">
        <v>5.58</v>
      </c>
      <c r="D152" s="5">
        <v>39.42</v>
      </c>
      <c r="E152" s="5">
        <v>7.03</v>
      </c>
      <c r="F152" s="5">
        <v>6.1</v>
      </c>
      <c r="G152" s="5">
        <v>0.28999999999999998</v>
      </c>
      <c r="H152" s="5">
        <v>874</v>
      </c>
      <c r="I152" s="5">
        <v>1</v>
      </c>
      <c r="J152" s="5">
        <v>0</v>
      </c>
      <c r="K152" s="5">
        <v>23.475283543762039</v>
      </c>
      <c r="L152" s="5">
        <v>41.343890434410447</v>
      </c>
      <c r="M152" s="5">
        <v>26.621014337684574</v>
      </c>
      <c r="N152" s="5">
        <v>6.1416648833725658</v>
      </c>
      <c r="O152" s="5">
        <v>2.17</v>
      </c>
      <c r="P152" t="s">
        <v>55</v>
      </c>
      <c r="Q152" t="s">
        <v>56</v>
      </c>
    </row>
    <row r="153" spans="1:17" x14ac:dyDescent="0.3">
      <c r="A153">
        <f t="shared" si="2"/>
        <v>152</v>
      </c>
      <c r="B153">
        <v>48.91</v>
      </c>
      <c r="C153" s="5">
        <v>5.9</v>
      </c>
      <c r="D153" s="5">
        <v>33.08</v>
      </c>
      <c r="E153" s="5">
        <v>9.69</v>
      </c>
      <c r="F153" s="5">
        <v>11.37</v>
      </c>
      <c r="G153" s="5">
        <v>0.2</v>
      </c>
      <c r="H153" s="5">
        <v>700</v>
      </c>
      <c r="I153" s="5">
        <v>3</v>
      </c>
      <c r="J153" s="5">
        <v>0</v>
      </c>
      <c r="K153" s="5">
        <v>26.574015582227837</v>
      </c>
      <c r="L153" s="5">
        <v>22.488945041061275</v>
      </c>
      <c r="M153" s="5">
        <v>35.754895767530002</v>
      </c>
      <c r="N153" s="5">
        <v>10.275847546851969</v>
      </c>
      <c r="O153" s="5">
        <v>1.82</v>
      </c>
      <c r="P153" t="s">
        <v>55</v>
      </c>
      <c r="Q153" t="s">
        <v>57</v>
      </c>
    </row>
    <row r="154" spans="1:17" x14ac:dyDescent="0.3">
      <c r="A154">
        <f t="shared" si="2"/>
        <v>153</v>
      </c>
      <c r="B154">
        <v>48.91</v>
      </c>
      <c r="C154" s="5">
        <v>5.9</v>
      </c>
      <c r="D154" s="5">
        <v>33.08</v>
      </c>
      <c r="E154" s="5">
        <v>9.69</v>
      </c>
      <c r="F154" s="5">
        <v>11.37</v>
      </c>
      <c r="G154" s="5">
        <v>0.2</v>
      </c>
      <c r="H154" s="5">
        <v>760</v>
      </c>
      <c r="I154" s="5">
        <v>3</v>
      </c>
      <c r="J154" s="5">
        <v>0</v>
      </c>
      <c r="K154" s="5">
        <v>26.311728395061728</v>
      </c>
      <c r="L154" s="5">
        <v>26.793981481481481</v>
      </c>
      <c r="M154" s="5">
        <v>32.465277777777771</v>
      </c>
      <c r="N154" s="5">
        <v>10.204475308641975</v>
      </c>
      <c r="O154" s="5">
        <v>1.9</v>
      </c>
      <c r="P154" t="s">
        <v>55</v>
      </c>
      <c r="Q154" t="s">
        <v>57</v>
      </c>
    </row>
    <row r="155" spans="1:17" x14ac:dyDescent="0.3">
      <c r="A155">
        <f t="shared" si="2"/>
        <v>154</v>
      </c>
      <c r="B155">
        <v>48.91</v>
      </c>
      <c r="C155" s="5">
        <v>5.9</v>
      </c>
      <c r="D155" s="5">
        <v>33.08</v>
      </c>
      <c r="E155" s="5">
        <v>9.69</v>
      </c>
      <c r="F155" s="5">
        <v>11.37</v>
      </c>
      <c r="G155" s="5">
        <v>0.2</v>
      </c>
      <c r="H155" s="5">
        <v>800</v>
      </c>
      <c r="I155" s="5">
        <v>3</v>
      </c>
      <c r="J155" s="5">
        <v>0</v>
      </c>
      <c r="K155" s="5">
        <v>28.707627118644073</v>
      </c>
      <c r="L155" s="5">
        <v>29.502118644067796</v>
      </c>
      <c r="M155" s="5">
        <v>29.237288135593214</v>
      </c>
      <c r="N155" s="5">
        <v>8.59816384180791</v>
      </c>
      <c r="O155" s="5">
        <v>2.04</v>
      </c>
      <c r="P155" t="s">
        <v>55</v>
      </c>
      <c r="Q155" t="s">
        <v>57</v>
      </c>
    </row>
    <row r="156" spans="1:17" x14ac:dyDescent="0.3">
      <c r="A156">
        <f t="shared" si="2"/>
        <v>155</v>
      </c>
      <c r="B156" s="5">
        <v>45.889600000000002</v>
      </c>
      <c r="C156" s="5">
        <v>5.6372999999999998</v>
      </c>
      <c r="D156" s="5">
        <v>47.175300000000007</v>
      </c>
      <c r="E156" s="5">
        <v>9.5</v>
      </c>
      <c r="F156" s="5">
        <v>1.1000000000000001</v>
      </c>
      <c r="G156" s="5">
        <v>0.38</v>
      </c>
      <c r="H156" s="5">
        <v>761</v>
      </c>
      <c r="I156" s="5">
        <v>1</v>
      </c>
      <c r="J156" s="5">
        <v>0</v>
      </c>
      <c r="K156" s="5">
        <v>15.5</v>
      </c>
      <c r="L156" s="5">
        <v>31.6</v>
      </c>
      <c r="M156" s="5">
        <v>38.1</v>
      </c>
      <c r="N156" s="5">
        <v>8.4</v>
      </c>
      <c r="O156" s="5">
        <v>2.0985507246376813</v>
      </c>
      <c r="P156" t="s">
        <v>25</v>
      </c>
      <c r="Q156" t="s">
        <v>58</v>
      </c>
    </row>
    <row r="157" spans="1:17" x14ac:dyDescent="0.3">
      <c r="A157">
        <f t="shared" si="2"/>
        <v>156</v>
      </c>
      <c r="B157" s="5">
        <v>45.889600000000002</v>
      </c>
      <c r="C157" s="5">
        <v>5.6372999999999998</v>
      </c>
      <c r="D157" s="5">
        <v>47.175300000000007</v>
      </c>
      <c r="E157" s="5">
        <v>18.100000000000001</v>
      </c>
      <c r="F157" s="5">
        <v>1.1000000000000001</v>
      </c>
      <c r="G157" s="5">
        <v>0.38</v>
      </c>
      <c r="H157" s="5">
        <v>730</v>
      </c>
      <c r="I157" s="5">
        <v>1</v>
      </c>
      <c r="J157" s="5">
        <v>0</v>
      </c>
      <c r="K157" s="5">
        <v>13.9</v>
      </c>
      <c r="L157" s="5">
        <v>28.7</v>
      </c>
      <c r="M157" s="5">
        <v>43.8</v>
      </c>
      <c r="N157" s="5">
        <v>8.6999999999999993</v>
      </c>
      <c r="O157" s="5">
        <v>2.0399260172626388</v>
      </c>
      <c r="P157" t="s">
        <v>25</v>
      </c>
      <c r="Q157" t="s">
        <v>58</v>
      </c>
    </row>
    <row r="158" spans="1:17" x14ac:dyDescent="0.3">
      <c r="A158">
        <f t="shared" si="2"/>
        <v>157</v>
      </c>
      <c r="B158" s="5">
        <v>45.889600000000002</v>
      </c>
      <c r="C158" s="5">
        <v>5.6372999999999998</v>
      </c>
      <c r="D158" s="5">
        <v>47.175300000000007</v>
      </c>
      <c r="E158" s="5">
        <v>25.5</v>
      </c>
      <c r="F158" s="5">
        <v>1.1000000000000001</v>
      </c>
      <c r="G158" s="5">
        <v>0.38</v>
      </c>
      <c r="H158" s="5">
        <v>699</v>
      </c>
      <c r="I158" s="5">
        <v>1</v>
      </c>
      <c r="J158" s="5">
        <v>0</v>
      </c>
      <c r="K158" s="5">
        <v>14.1</v>
      </c>
      <c r="L158" s="5">
        <v>27</v>
      </c>
      <c r="M158" s="5">
        <v>45.8</v>
      </c>
      <c r="N158" s="5">
        <v>8.3000000000000007</v>
      </c>
      <c r="O158" s="5">
        <v>2.0217096336499321</v>
      </c>
      <c r="P158" t="s">
        <v>25</v>
      </c>
      <c r="Q158" t="s">
        <v>58</v>
      </c>
    </row>
    <row r="159" spans="1:17" x14ac:dyDescent="0.3">
      <c r="A159">
        <f t="shared" si="2"/>
        <v>158</v>
      </c>
      <c r="B159" s="5">
        <v>45.889600000000002</v>
      </c>
      <c r="C159" s="5">
        <v>5.6372999999999998</v>
      </c>
      <c r="D159" s="5">
        <v>47.175300000000007</v>
      </c>
      <c r="E159" s="5">
        <v>27</v>
      </c>
      <c r="F159" s="5">
        <v>1.1000000000000001</v>
      </c>
      <c r="G159" s="5">
        <v>0.36</v>
      </c>
      <c r="H159" s="5">
        <v>703.5</v>
      </c>
      <c r="I159" s="5">
        <v>1</v>
      </c>
      <c r="J159" s="5">
        <v>0</v>
      </c>
      <c r="K159" s="5">
        <v>13.57</v>
      </c>
      <c r="L159" s="5">
        <v>27.57</v>
      </c>
      <c r="M159" s="5">
        <v>45.46</v>
      </c>
      <c r="N159" s="5">
        <v>8.26</v>
      </c>
      <c r="O159" s="5">
        <v>1.9</v>
      </c>
      <c r="P159" t="s">
        <v>25</v>
      </c>
      <c r="Q159" t="s">
        <v>58</v>
      </c>
    </row>
    <row r="160" spans="1:17" x14ac:dyDescent="0.3">
      <c r="A160">
        <f t="shared" si="2"/>
        <v>159</v>
      </c>
      <c r="B160" s="5">
        <v>45.889600000000002</v>
      </c>
      <c r="C160" s="5">
        <v>5.6372999999999998</v>
      </c>
      <c r="D160" s="5">
        <v>47.175300000000007</v>
      </c>
      <c r="E160" s="5">
        <v>27</v>
      </c>
      <c r="F160" s="5">
        <v>1.1000000000000001</v>
      </c>
      <c r="G160" s="5">
        <v>0.39</v>
      </c>
      <c r="H160" s="5">
        <v>729.9</v>
      </c>
      <c r="I160" s="5">
        <v>1</v>
      </c>
      <c r="J160" s="5">
        <v>0</v>
      </c>
      <c r="K160" s="5">
        <v>13.9</v>
      </c>
      <c r="L160" s="5">
        <v>27.64</v>
      </c>
      <c r="M160" s="5">
        <v>45.79</v>
      </c>
      <c r="N160" s="5">
        <v>8.07</v>
      </c>
      <c r="O160" s="5">
        <v>2</v>
      </c>
      <c r="P160" t="s">
        <v>25</v>
      </c>
      <c r="Q160" t="s">
        <v>58</v>
      </c>
    </row>
    <row r="161" spans="1:17" x14ac:dyDescent="0.3">
      <c r="A161">
        <f t="shared" si="2"/>
        <v>160</v>
      </c>
      <c r="B161" s="5">
        <v>45.889600000000002</v>
      </c>
      <c r="C161" s="5">
        <v>5.6372999999999998</v>
      </c>
      <c r="D161" s="5">
        <v>47.175300000000007</v>
      </c>
      <c r="E161" s="5">
        <v>27</v>
      </c>
      <c r="F161" s="5">
        <v>1.1000000000000001</v>
      </c>
      <c r="G161" s="5">
        <v>0.45</v>
      </c>
      <c r="H161" s="5">
        <v>738.2</v>
      </c>
      <c r="I161" s="5">
        <v>1</v>
      </c>
      <c r="J161" s="5">
        <v>0</v>
      </c>
      <c r="K161" s="5">
        <v>14.29</v>
      </c>
      <c r="L161" s="5">
        <v>27.34</v>
      </c>
      <c r="M161" s="5">
        <v>46.03</v>
      </c>
      <c r="N161" s="5">
        <v>7.93</v>
      </c>
      <c r="O161" s="5">
        <v>2.1800000000000002</v>
      </c>
      <c r="P161" t="s">
        <v>25</v>
      </c>
      <c r="Q161" t="s">
        <v>58</v>
      </c>
    </row>
    <row r="162" spans="1:17" x14ac:dyDescent="0.3">
      <c r="A162">
        <f t="shared" si="2"/>
        <v>161</v>
      </c>
      <c r="B162" s="5">
        <v>45.889600000000002</v>
      </c>
      <c r="C162" s="5">
        <v>5.6372999999999998</v>
      </c>
      <c r="D162" s="5">
        <v>47.175300000000007</v>
      </c>
      <c r="E162" s="5">
        <v>27</v>
      </c>
      <c r="F162" s="5">
        <v>1.1000000000000001</v>
      </c>
      <c r="G162" s="5">
        <v>0.49</v>
      </c>
      <c r="H162" s="5">
        <v>765.4</v>
      </c>
      <c r="I162" s="5">
        <v>1</v>
      </c>
      <c r="J162" s="5">
        <v>0</v>
      </c>
      <c r="K162" s="5">
        <v>14.06</v>
      </c>
      <c r="L162" s="5">
        <v>26.8</v>
      </c>
      <c r="M162" s="5">
        <v>47.16</v>
      </c>
      <c r="N162" s="5">
        <v>7.82</v>
      </c>
      <c r="O162" s="5">
        <v>2.4500000000000002</v>
      </c>
      <c r="P162" t="s">
        <v>25</v>
      </c>
      <c r="Q162" t="s">
        <v>58</v>
      </c>
    </row>
    <row r="163" spans="1:17" x14ac:dyDescent="0.3">
      <c r="A163">
        <f t="shared" si="2"/>
        <v>162</v>
      </c>
      <c r="B163">
        <v>50.13</v>
      </c>
      <c r="C163" s="5">
        <v>6.0846560846560847</v>
      </c>
      <c r="D163" s="5">
        <v>41.534391534391538</v>
      </c>
      <c r="E163" s="5">
        <v>24.4</v>
      </c>
      <c r="F163" s="5">
        <v>1.59</v>
      </c>
      <c r="G163" s="5">
        <v>0.3</v>
      </c>
      <c r="H163" s="5">
        <v>726.3</v>
      </c>
      <c r="I163" s="5">
        <v>1</v>
      </c>
      <c r="J163" s="5">
        <v>0</v>
      </c>
      <c r="K163" s="5">
        <v>14.06</v>
      </c>
      <c r="L163" s="5">
        <v>33.25</v>
      </c>
      <c r="M163" s="5">
        <v>40.99</v>
      </c>
      <c r="N163" s="5">
        <v>7.85</v>
      </c>
      <c r="O163" s="5">
        <v>1.86</v>
      </c>
      <c r="P163" t="s">
        <v>59</v>
      </c>
      <c r="Q163" t="s">
        <v>58</v>
      </c>
    </row>
    <row r="164" spans="1:17" x14ac:dyDescent="0.3">
      <c r="A164">
        <f t="shared" si="2"/>
        <v>163</v>
      </c>
      <c r="B164">
        <v>50.13</v>
      </c>
      <c r="C164" s="5">
        <v>6.0846560846560847</v>
      </c>
      <c r="D164" s="5">
        <v>41.534391534391538</v>
      </c>
      <c r="E164" s="5">
        <v>24.4</v>
      </c>
      <c r="F164" s="5">
        <v>1.59</v>
      </c>
      <c r="G164" s="5">
        <v>0.38</v>
      </c>
      <c r="H164" s="5">
        <v>767.2</v>
      </c>
      <c r="I164" s="5">
        <v>1</v>
      </c>
      <c r="J164" s="5">
        <v>0</v>
      </c>
      <c r="K164" s="5">
        <v>14.58</v>
      </c>
      <c r="L164" s="5">
        <v>32.44</v>
      </c>
      <c r="M164" s="5">
        <v>41.26</v>
      </c>
      <c r="N164" s="5">
        <v>8.01</v>
      </c>
      <c r="O164" s="5">
        <v>2.2999999999999998</v>
      </c>
      <c r="P164" t="s">
        <v>59</v>
      </c>
      <c r="Q164" t="s">
        <v>58</v>
      </c>
    </row>
    <row r="165" spans="1:17" x14ac:dyDescent="0.3">
      <c r="A165">
        <f t="shared" si="2"/>
        <v>164</v>
      </c>
      <c r="B165">
        <v>50.13</v>
      </c>
      <c r="C165" s="5">
        <v>6.0846560846560847</v>
      </c>
      <c r="D165" s="5">
        <v>41.534391534391538</v>
      </c>
      <c r="E165" s="5">
        <v>24.4</v>
      </c>
      <c r="F165" s="5">
        <v>1.59</v>
      </c>
      <c r="G165" s="5">
        <v>0.43</v>
      </c>
      <c r="H165" s="5">
        <v>783.1</v>
      </c>
      <c r="I165" s="5">
        <v>1</v>
      </c>
      <c r="J165" s="5">
        <v>0</v>
      </c>
      <c r="K165" s="5">
        <v>15.48</v>
      </c>
      <c r="L165" s="5">
        <v>32.14</v>
      </c>
      <c r="M165" s="5">
        <v>41.19</v>
      </c>
      <c r="N165" s="5">
        <v>7.93</v>
      </c>
      <c r="O165" s="5">
        <v>2.58</v>
      </c>
      <c r="P165" t="s">
        <v>59</v>
      </c>
      <c r="Q165" t="s">
        <v>58</v>
      </c>
    </row>
    <row r="166" spans="1:17" x14ac:dyDescent="0.3">
      <c r="A166">
        <f t="shared" si="2"/>
        <v>165</v>
      </c>
      <c r="B166">
        <v>50.13</v>
      </c>
      <c r="C166" s="5">
        <v>6.0846560846560847</v>
      </c>
      <c r="D166" s="5">
        <v>41.534391534391538</v>
      </c>
      <c r="E166" s="5">
        <v>24.4</v>
      </c>
      <c r="F166" s="5">
        <v>1.59</v>
      </c>
      <c r="G166" s="5">
        <v>0.46</v>
      </c>
      <c r="H166" s="5">
        <v>806.6</v>
      </c>
      <c r="I166" s="5">
        <v>1</v>
      </c>
      <c r="J166" s="5">
        <v>0</v>
      </c>
      <c r="K166" s="5">
        <v>14.66</v>
      </c>
      <c r="L166" s="5">
        <v>32.68</v>
      </c>
      <c r="M166" s="5">
        <v>41.72</v>
      </c>
      <c r="N166" s="5">
        <v>8.07</v>
      </c>
      <c r="O166" s="5">
        <v>2.74</v>
      </c>
      <c r="P166" t="s">
        <v>59</v>
      </c>
      <c r="Q166" t="s">
        <v>58</v>
      </c>
    </row>
    <row r="167" spans="1:17" x14ac:dyDescent="0.3">
      <c r="A167">
        <f t="shared" si="2"/>
        <v>166</v>
      </c>
      <c r="B167">
        <v>54.22</v>
      </c>
      <c r="C167" s="5">
        <v>6.3938618925831197</v>
      </c>
      <c r="D167" s="5">
        <v>36.189258312020456</v>
      </c>
      <c r="E167" s="5">
        <v>21.8</v>
      </c>
      <c r="F167" s="5">
        <v>2.0499999999999998</v>
      </c>
      <c r="G167" s="5">
        <v>0.3</v>
      </c>
      <c r="H167" s="5">
        <v>747.3</v>
      </c>
      <c r="I167" s="5">
        <v>1</v>
      </c>
      <c r="J167" s="5">
        <v>0</v>
      </c>
      <c r="K167" s="5">
        <v>13.43</v>
      </c>
      <c r="L167" s="5">
        <v>34.65</v>
      </c>
      <c r="M167" s="5">
        <v>38.49</v>
      </c>
      <c r="N167" s="5">
        <v>8.83</v>
      </c>
      <c r="O167" s="5">
        <v>2.14</v>
      </c>
      <c r="P167" t="s">
        <v>60</v>
      </c>
      <c r="Q167" t="s">
        <v>58</v>
      </c>
    </row>
    <row r="168" spans="1:17" x14ac:dyDescent="0.3">
      <c r="A168">
        <f t="shared" si="2"/>
        <v>167</v>
      </c>
      <c r="B168">
        <v>54.22</v>
      </c>
      <c r="C168" s="5">
        <v>6.3938618925831197</v>
      </c>
      <c r="D168" s="5">
        <v>36.189258312020456</v>
      </c>
      <c r="E168" s="5">
        <v>21.8</v>
      </c>
      <c r="F168" s="5">
        <v>2.0499999999999998</v>
      </c>
      <c r="G168" s="5">
        <v>0.34</v>
      </c>
      <c r="H168" s="5">
        <v>769</v>
      </c>
      <c r="I168" s="5">
        <v>1</v>
      </c>
      <c r="J168" s="5">
        <v>0</v>
      </c>
      <c r="K168" s="5">
        <v>14.96</v>
      </c>
      <c r="L168" s="5">
        <v>33.61</v>
      </c>
      <c r="M168" s="5">
        <v>38.18</v>
      </c>
      <c r="N168" s="5">
        <v>8.4700000000000006</v>
      </c>
      <c r="O168" s="5">
        <v>2.35</v>
      </c>
      <c r="P168" t="s">
        <v>60</v>
      </c>
      <c r="Q168" t="s">
        <v>58</v>
      </c>
    </row>
    <row r="169" spans="1:17" x14ac:dyDescent="0.3">
      <c r="A169">
        <f t="shared" si="2"/>
        <v>168</v>
      </c>
      <c r="B169">
        <v>54.22</v>
      </c>
      <c r="C169" s="5">
        <v>6.3938618925831197</v>
      </c>
      <c r="D169" s="5">
        <v>36.189258312020456</v>
      </c>
      <c r="E169" s="5">
        <v>21.8</v>
      </c>
      <c r="F169" s="5">
        <v>2.0499999999999998</v>
      </c>
      <c r="G169" s="5">
        <v>0.38</v>
      </c>
      <c r="H169" s="5">
        <v>779.5</v>
      </c>
      <c r="I169" s="5">
        <v>1</v>
      </c>
      <c r="J169" s="5">
        <v>0</v>
      </c>
      <c r="K169" s="5">
        <v>15.97</v>
      </c>
      <c r="L169" s="5">
        <v>33.21</v>
      </c>
      <c r="M169" s="5">
        <v>38.49</v>
      </c>
      <c r="N169" s="5">
        <v>8.61</v>
      </c>
      <c r="O169" s="5">
        <v>2.66</v>
      </c>
      <c r="P169" t="s">
        <v>60</v>
      </c>
      <c r="Q169" t="s">
        <v>58</v>
      </c>
    </row>
    <row r="170" spans="1:17" x14ac:dyDescent="0.3">
      <c r="A170">
        <f t="shared" si="2"/>
        <v>169</v>
      </c>
      <c r="B170">
        <v>54.22</v>
      </c>
      <c r="C170" s="5">
        <v>6.3938618925831197</v>
      </c>
      <c r="D170" s="5">
        <v>36.189258312020456</v>
      </c>
      <c r="E170" s="5">
        <v>21.8</v>
      </c>
      <c r="F170" s="5">
        <v>2.0499999999999998</v>
      </c>
      <c r="G170" s="5">
        <v>0.4</v>
      </c>
      <c r="H170" s="5">
        <v>791.8</v>
      </c>
      <c r="I170" s="5">
        <v>1</v>
      </c>
      <c r="J170" s="5">
        <v>0</v>
      </c>
      <c r="K170" s="5">
        <v>15.45</v>
      </c>
      <c r="L170" s="5">
        <v>33.08</v>
      </c>
      <c r="M170" s="5">
        <v>38.82</v>
      </c>
      <c r="N170" s="5">
        <v>8.64</v>
      </c>
      <c r="O170" s="5">
        <v>2.77</v>
      </c>
      <c r="P170" t="s">
        <v>60</v>
      </c>
      <c r="Q170" t="s">
        <v>58</v>
      </c>
    </row>
    <row r="171" spans="1:17" x14ac:dyDescent="0.3">
      <c r="A171">
        <f t="shared" si="2"/>
        <v>170</v>
      </c>
      <c r="B171">
        <v>54.22</v>
      </c>
      <c r="C171" s="5">
        <v>6.3938618925831197</v>
      </c>
      <c r="D171" s="5">
        <v>36.189258312020456</v>
      </c>
      <c r="E171" s="5">
        <v>21.8</v>
      </c>
      <c r="F171" s="5">
        <v>2.0499999999999998</v>
      </c>
      <c r="G171" s="5">
        <v>0.45</v>
      </c>
      <c r="H171" s="5">
        <v>829.1</v>
      </c>
      <c r="I171" s="5">
        <v>1</v>
      </c>
      <c r="J171" s="5">
        <v>0</v>
      </c>
      <c r="K171" s="5">
        <v>14.39</v>
      </c>
      <c r="L171" s="5">
        <v>33.28</v>
      </c>
      <c r="M171" s="5">
        <v>39.92</v>
      </c>
      <c r="N171" s="5">
        <v>8.69</v>
      </c>
      <c r="O171" s="5">
        <v>3</v>
      </c>
      <c r="P171" t="s">
        <v>60</v>
      </c>
      <c r="Q171" t="s">
        <v>58</v>
      </c>
    </row>
    <row r="172" spans="1:17" x14ac:dyDescent="0.3">
      <c r="A172">
        <f t="shared" si="2"/>
        <v>171</v>
      </c>
      <c r="B172" s="5">
        <v>47.295701427003294</v>
      </c>
      <c r="C172" s="5">
        <v>6.4693194291986824</v>
      </c>
      <c r="D172" s="5">
        <v>46.141176728869375</v>
      </c>
      <c r="E172" s="5">
        <v>8.9</v>
      </c>
      <c r="F172" s="5">
        <v>0.47200878155872666</v>
      </c>
      <c r="G172" s="5">
        <v>0.19</v>
      </c>
      <c r="H172" s="5">
        <v>800</v>
      </c>
      <c r="I172" s="5">
        <v>1</v>
      </c>
      <c r="J172" s="5">
        <v>0</v>
      </c>
      <c r="K172" s="5">
        <v>15.281587865096018</v>
      </c>
      <c r="L172" s="5">
        <v>25.964176214297243</v>
      </c>
      <c r="M172" s="5">
        <v>21.123124092302731</v>
      </c>
      <c r="N172" s="5">
        <v>8.875262223656609</v>
      </c>
      <c r="O172" s="5"/>
      <c r="P172" t="s">
        <v>61</v>
      </c>
      <c r="Q172" t="s">
        <v>62</v>
      </c>
    </row>
    <row r="173" spans="1:17" x14ac:dyDescent="0.3">
      <c r="A173">
        <f t="shared" si="2"/>
        <v>172</v>
      </c>
      <c r="B173" s="5">
        <v>45.651148800000001</v>
      </c>
      <c r="C173" s="5">
        <v>6.1181951999999997</v>
      </c>
      <c r="D173" s="5">
        <v>45.2295424</v>
      </c>
      <c r="E173" s="5">
        <v>6.25</v>
      </c>
      <c r="F173" s="5">
        <v>1.9520000000000002</v>
      </c>
      <c r="G173" s="5">
        <v>0.2</v>
      </c>
      <c r="H173" s="5">
        <v>800</v>
      </c>
      <c r="I173" s="5">
        <v>1</v>
      </c>
      <c r="J173" s="5">
        <v>0</v>
      </c>
      <c r="K173" s="5">
        <v>18.579862249918008</v>
      </c>
      <c r="L173" s="5">
        <v>27.730403410954416</v>
      </c>
      <c r="M173" s="5">
        <v>22.236798950475571</v>
      </c>
      <c r="N173" s="5">
        <v>8.642177763201051</v>
      </c>
      <c r="O173" s="5"/>
      <c r="P173" t="s">
        <v>63</v>
      </c>
      <c r="Q173" t="s">
        <v>62</v>
      </c>
    </row>
    <row r="174" spans="1:17" x14ac:dyDescent="0.3">
      <c r="A174">
        <f t="shared" si="2"/>
        <v>173</v>
      </c>
      <c r="B174" s="5">
        <v>39.409945875985414</v>
      </c>
      <c r="C174" s="5">
        <v>6.9830450641251911</v>
      </c>
      <c r="D174" s="5">
        <v>49.668137427932699</v>
      </c>
      <c r="E174" s="5">
        <v>15.01</v>
      </c>
      <c r="F174" s="5">
        <v>1.6472526179550535</v>
      </c>
      <c r="G174" s="5">
        <v>0.22</v>
      </c>
      <c r="H174" s="5">
        <v>800</v>
      </c>
      <c r="I174" s="5">
        <v>1</v>
      </c>
      <c r="J174" s="5">
        <v>0</v>
      </c>
      <c r="K174" s="5">
        <v>7.5856164383561646</v>
      </c>
      <c r="L174" s="5">
        <v>21.267123287671232</v>
      </c>
      <c r="M174" s="5">
        <v>18.68150684931507</v>
      </c>
      <c r="N174" s="5">
        <v>6.147260273972603</v>
      </c>
      <c r="O174" s="5"/>
      <c r="P174" t="s">
        <v>64</v>
      </c>
      <c r="Q174" t="s">
        <v>62</v>
      </c>
    </row>
    <row r="175" spans="1:17" x14ac:dyDescent="0.3">
      <c r="A175">
        <f t="shared" si="2"/>
        <v>174</v>
      </c>
      <c r="B175">
        <v>46</v>
      </c>
      <c r="C175" s="5">
        <v>6</v>
      </c>
      <c r="D175" s="5">
        <v>37.299999999999997</v>
      </c>
      <c r="E175" s="5">
        <v>8.1</v>
      </c>
      <c r="F175" s="5">
        <v>9.6300000000000008</v>
      </c>
      <c r="G175" s="5">
        <v>0.3</v>
      </c>
      <c r="H175" s="5">
        <v>750</v>
      </c>
      <c r="I175" s="5">
        <v>3</v>
      </c>
      <c r="J175" s="5">
        <v>0</v>
      </c>
      <c r="K175" s="5">
        <v>26.8</v>
      </c>
      <c r="L175" s="5">
        <v>29.4</v>
      </c>
      <c r="M175" s="5">
        <v>35.1</v>
      </c>
      <c r="N175" s="5">
        <v>8.6</v>
      </c>
      <c r="O175" s="5">
        <v>2.3795000000000002</v>
      </c>
      <c r="P175" t="s">
        <v>65</v>
      </c>
      <c r="Q175" t="s">
        <v>66</v>
      </c>
    </row>
    <row r="176" spans="1:17" x14ac:dyDescent="0.3">
      <c r="A176">
        <f t="shared" si="2"/>
        <v>175</v>
      </c>
      <c r="B176">
        <v>46</v>
      </c>
      <c r="C176" s="5">
        <v>6</v>
      </c>
      <c r="D176" s="5">
        <v>37.299999999999997</v>
      </c>
      <c r="E176" s="5">
        <v>8.1</v>
      </c>
      <c r="F176" s="5">
        <v>9.6300000000000008</v>
      </c>
      <c r="G176" s="5">
        <v>0.3</v>
      </c>
      <c r="H176" s="5">
        <v>800</v>
      </c>
      <c r="I176" s="5">
        <v>3</v>
      </c>
      <c r="J176" s="5">
        <v>0</v>
      </c>
      <c r="K176" s="5">
        <v>28.6</v>
      </c>
      <c r="L176" s="5">
        <v>33.1</v>
      </c>
      <c r="M176" s="5">
        <v>29.9</v>
      </c>
      <c r="N176" s="5">
        <v>8.1999999999999993</v>
      </c>
      <c r="O176" s="5">
        <v>2.4979</v>
      </c>
      <c r="P176" t="s">
        <v>65</v>
      </c>
      <c r="Q176" t="s">
        <v>66</v>
      </c>
    </row>
    <row r="177" spans="1:17" x14ac:dyDescent="0.3">
      <c r="A177">
        <f t="shared" si="2"/>
        <v>176</v>
      </c>
      <c r="B177">
        <v>46</v>
      </c>
      <c r="C177" s="5">
        <v>6</v>
      </c>
      <c r="D177" s="5">
        <v>37.299999999999997</v>
      </c>
      <c r="E177" s="5">
        <v>8.1</v>
      </c>
      <c r="F177" s="5">
        <v>9.6300000000000008</v>
      </c>
      <c r="G177" s="5">
        <v>0.3</v>
      </c>
      <c r="H177" s="5">
        <v>750</v>
      </c>
      <c r="I177" s="5">
        <v>1</v>
      </c>
      <c r="J177" s="5">
        <v>0</v>
      </c>
      <c r="K177" s="5">
        <v>25</v>
      </c>
      <c r="L177" s="5">
        <v>31.4</v>
      </c>
      <c r="M177" s="5">
        <v>34.200000000000003</v>
      </c>
      <c r="N177" s="5">
        <v>9.4</v>
      </c>
      <c r="O177" s="5">
        <v>2.2179000000000002</v>
      </c>
      <c r="P177" t="s">
        <v>65</v>
      </c>
      <c r="Q177" t="s">
        <v>66</v>
      </c>
    </row>
    <row r="178" spans="1:17" x14ac:dyDescent="0.3">
      <c r="A178">
        <f t="shared" si="2"/>
        <v>177</v>
      </c>
      <c r="B178">
        <v>46</v>
      </c>
      <c r="C178" s="5">
        <v>6</v>
      </c>
      <c r="D178" s="5">
        <v>37.299999999999997</v>
      </c>
      <c r="E178" s="5">
        <v>8.1</v>
      </c>
      <c r="F178" s="5">
        <v>9.6300000000000008</v>
      </c>
      <c r="G178" s="5">
        <v>0.3</v>
      </c>
      <c r="H178" s="5">
        <v>800</v>
      </c>
      <c r="I178" s="5">
        <v>1</v>
      </c>
      <c r="J178" s="5">
        <v>0</v>
      </c>
      <c r="K178" s="5">
        <v>27.1</v>
      </c>
      <c r="L178" s="5">
        <v>34</v>
      </c>
      <c r="M178" s="5">
        <v>29.8</v>
      </c>
      <c r="N178" s="5">
        <v>8.4</v>
      </c>
      <c r="O178" s="5">
        <v>2.2947000000000002</v>
      </c>
      <c r="P178" t="s">
        <v>65</v>
      </c>
      <c r="Q178" t="s">
        <v>66</v>
      </c>
    </row>
    <row r="179" spans="1:17" x14ac:dyDescent="0.3">
      <c r="A179">
        <f t="shared" si="2"/>
        <v>178</v>
      </c>
      <c r="B179">
        <v>48.6</v>
      </c>
      <c r="C179" s="5">
        <v>6.63</v>
      </c>
      <c r="D179" s="5">
        <v>39.299999999999997</v>
      </c>
      <c r="E179" s="5">
        <v>8.1999999999999993</v>
      </c>
      <c r="F179" s="5">
        <v>2.39</v>
      </c>
      <c r="G179" s="5">
        <v>0.3</v>
      </c>
      <c r="H179" s="5">
        <v>750</v>
      </c>
      <c r="I179" s="5">
        <v>3</v>
      </c>
      <c r="J179" s="5">
        <v>0</v>
      </c>
      <c r="K179" s="5">
        <v>23.6</v>
      </c>
      <c r="L179" s="5">
        <v>29.5</v>
      </c>
      <c r="M179" s="5">
        <v>34.799999999999997</v>
      </c>
      <c r="N179" s="5">
        <v>8.5</v>
      </c>
      <c r="O179" s="5">
        <v>2.5286</v>
      </c>
      <c r="P179" t="s">
        <v>67</v>
      </c>
      <c r="Q179" t="s">
        <v>66</v>
      </c>
    </row>
    <row r="180" spans="1:17" x14ac:dyDescent="0.3">
      <c r="A180">
        <f t="shared" si="2"/>
        <v>179</v>
      </c>
      <c r="B180">
        <v>48.6</v>
      </c>
      <c r="C180" s="5">
        <v>6.63</v>
      </c>
      <c r="D180" s="5">
        <v>39.299999999999997</v>
      </c>
      <c r="E180" s="5">
        <v>8.1999999999999993</v>
      </c>
      <c r="F180" s="5">
        <v>2.39</v>
      </c>
      <c r="G180" s="5">
        <v>0.3</v>
      </c>
      <c r="H180" s="5">
        <v>800</v>
      </c>
      <c r="I180" s="5">
        <v>3</v>
      </c>
      <c r="J180" s="5">
        <v>0</v>
      </c>
      <c r="K180" s="5">
        <v>25.5</v>
      </c>
      <c r="L180" s="5">
        <v>35.1</v>
      </c>
      <c r="M180" s="5">
        <v>30.3</v>
      </c>
      <c r="N180" s="5">
        <v>7.8</v>
      </c>
      <c r="O180" s="5">
        <v>2.6253000000000002</v>
      </c>
      <c r="P180" t="s">
        <v>67</v>
      </c>
      <c r="Q180" t="s">
        <v>66</v>
      </c>
    </row>
    <row r="181" spans="1:17" x14ac:dyDescent="0.3">
      <c r="A181">
        <f t="shared" si="2"/>
        <v>180</v>
      </c>
      <c r="B181">
        <v>48.6</v>
      </c>
      <c r="C181" s="5">
        <v>6.63</v>
      </c>
      <c r="D181" s="5">
        <v>39.299999999999997</v>
      </c>
      <c r="E181" s="5">
        <v>8.1999999999999993</v>
      </c>
      <c r="F181" s="5">
        <v>2.39</v>
      </c>
      <c r="G181" s="5">
        <v>0.3</v>
      </c>
      <c r="H181" s="5">
        <v>750</v>
      </c>
      <c r="I181" s="5">
        <v>1</v>
      </c>
      <c r="J181" s="5">
        <v>0</v>
      </c>
      <c r="K181" s="5">
        <v>21.8</v>
      </c>
      <c r="L181" s="5">
        <v>31.7</v>
      </c>
      <c r="M181" s="5">
        <v>36</v>
      </c>
      <c r="N181" s="5">
        <v>7.8</v>
      </c>
      <c r="O181" s="5">
        <v>2.2589999999999999</v>
      </c>
      <c r="P181" t="s">
        <v>67</v>
      </c>
      <c r="Q181" t="s">
        <v>66</v>
      </c>
    </row>
    <row r="182" spans="1:17" x14ac:dyDescent="0.3">
      <c r="A182">
        <f t="shared" si="2"/>
        <v>181</v>
      </c>
      <c r="B182">
        <v>48.6</v>
      </c>
      <c r="C182" s="5">
        <v>6.63</v>
      </c>
      <c r="D182" s="5">
        <v>39.299999999999997</v>
      </c>
      <c r="E182" s="5">
        <v>8.1999999999999993</v>
      </c>
      <c r="F182" s="5">
        <v>2.39</v>
      </c>
      <c r="G182" s="5">
        <v>0.3</v>
      </c>
      <c r="H182" s="5">
        <v>800</v>
      </c>
      <c r="I182" s="5">
        <v>1</v>
      </c>
      <c r="J182" s="5">
        <v>0</v>
      </c>
      <c r="K182" s="5">
        <v>23.4</v>
      </c>
      <c r="L182" s="5">
        <v>33.700000000000003</v>
      </c>
      <c r="M182" s="5">
        <v>35.200000000000003</v>
      </c>
      <c r="N182" s="5">
        <v>7.7</v>
      </c>
      <c r="O182" s="5">
        <v>2.2793999999999999</v>
      </c>
      <c r="P182" t="s">
        <v>67</v>
      </c>
      <c r="Q182" t="s">
        <v>66</v>
      </c>
    </row>
    <row r="183" spans="1:17" x14ac:dyDescent="0.3">
      <c r="A183">
        <f t="shared" si="2"/>
        <v>182</v>
      </c>
      <c r="B183">
        <v>44.18</v>
      </c>
      <c r="C183" s="5">
        <v>5.34</v>
      </c>
      <c r="D183" s="5">
        <v>45.35</v>
      </c>
      <c r="E183" s="5">
        <v>5.93</v>
      </c>
      <c r="F183" s="5">
        <v>4.58</v>
      </c>
      <c r="G183" s="5">
        <v>0.15</v>
      </c>
      <c r="H183" s="5">
        <v>650</v>
      </c>
      <c r="I183" s="5">
        <v>1</v>
      </c>
      <c r="J183" s="5">
        <v>0</v>
      </c>
      <c r="K183" s="5">
        <v>14.806234203875317</v>
      </c>
      <c r="L183" s="5">
        <v>42.965459140690818</v>
      </c>
      <c r="M183" s="5">
        <v>31.676495366470096</v>
      </c>
      <c r="N183" s="5">
        <v>10.551811288963775</v>
      </c>
      <c r="O183" s="5"/>
      <c r="P183" t="s">
        <v>68</v>
      </c>
      <c r="Q183" t="s">
        <v>69</v>
      </c>
    </row>
    <row r="184" spans="1:17" x14ac:dyDescent="0.3">
      <c r="A184">
        <f t="shared" si="2"/>
        <v>183</v>
      </c>
      <c r="B184">
        <v>44.18</v>
      </c>
      <c r="C184" s="5">
        <v>5.34</v>
      </c>
      <c r="D184" s="5">
        <v>45.35</v>
      </c>
      <c r="E184" s="5">
        <v>5.93</v>
      </c>
      <c r="F184" s="5">
        <v>4.58</v>
      </c>
      <c r="G184" s="5">
        <v>0.15</v>
      </c>
      <c r="H184" s="5">
        <v>700</v>
      </c>
      <c r="I184" s="5">
        <v>1</v>
      </c>
      <c r="J184" s="5">
        <v>0</v>
      </c>
      <c r="K184" s="5">
        <v>14.83743842364532</v>
      </c>
      <c r="L184" s="5">
        <v>43.448275862068968</v>
      </c>
      <c r="M184" s="5">
        <v>29.142857142857142</v>
      </c>
      <c r="N184" s="5">
        <v>12.571428571428571</v>
      </c>
      <c r="O184" s="5"/>
      <c r="P184" t="s">
        <v>68</v>
      </c>
      <c r="Q184" t="s">
        <v>69</v>
      </c>
    </row>
    <row r="185" spans="1:17" x14ac:dyDescent="0.3">
      <c r="A185">
        <f t="shared" si="2"/>
        <v>184</v>
      </c>
      <c r="B185">
        <v>44.18</v>
      </c>
      <c r="C185" s="5">
        <v>5.34</v>
      </c>
      <c r="D185" s="5">
        <v>45.35</v>
      </c>
      <c r="E185" s="5">
        <v>5.93</v>
      </c>
      <c r="F185" s="5">
        <v>4.58</v>
      </c>
      <c r="G185" s="5">
        <v>0.15</v>
      </c>
      <c r="H185" s="5">
        <v>750</v>
      </c>
      <c r="I185" s="5">
        <v>1</v>
      </c>
      <c r="J185" s="5">
        <v>0</v>
      </c>
      <c r="K185" s="5">
        <v>16.087369420702757</v>
      </c>
      <c r="L185" s="5">
        <v>43.817663817663821</v>
      </c>
      <c r="M185" s="5">
        <v>26.647673314339983</v>
      </c>
      <c r="N185" s="5">
        <v>13.447293447293447</v>
      </c>
      <c r="O185" s="5"/>
      <c r="P185" t="s">
        <v>68</v>
      </c>
      <c r="Q185" t="s">
        <v>69</v>
      </c>
    </row>
    <row r="186" spans="1:17" x14ac:dyDescent="0.3">
      <c r="A186">
        <f t="shared" si="2"/>
        <v>185</v>
      </c>
      <c r="B186">
        <v>44.18</v>
      </c>
      <c r="C186" s="5">
        <v>5.34</v>
      </c>
      <c r="D186" s="5">
        <v>45.35</v>
      </c>
      <c r="E186" s="5">
        <v>5.93</v>
      </c>
      <c r="F186" s="5">
        <v>4.58</v>
      </c>
      <c r="G186" s="5">
        <v>0.15</v>
      </c>
      <c r="H186" s="5">
        <v>800</v>
      </c>
      <c r="I186" s="5">
        <v>1</v>
      </c>
      <c r="J186" s="5">
        <v>0</v>
      </c>
      <c r="K186" s="5">
        <v>16.501709555515564</v>
      </c>
      <c r="L186" s="5">
        <v>46.463919380960952</v>
      </c>
      <c r="M186" s="5">
        <v>24.79755263631456</v>
      </c>
      <c r="N186" s="5">
        <v>12.236818427208926</v>
      </c>
      <c r="O186" s="5"/>
      <c r="P186" t="s">
        <v>68</v>
      </c>
      <c r="Q186" t="s">
        <v>69</v>
      </c>
    </row>
    <row r="187" spans="1:17" x14ac:dyDescent="0.3">
      <c r="A187">
        <f t="shared" si="2"/>
        <v>186</v>
      </c>
      <c r="B187">
        <v>44.18</v>
      </c>
      <c r="C187" s="5">
        <v>5.34</v>
      </c>
      <c r="D187" s="5">
        <v>45.35</v>
      </c>
      <c r="E187" s="5">
        <v>5.93</v>
      </c>
      <c r="F187" s="5">
        <v>4.58</v>
      </c>
      <c r="G187" s="5">
        <v>0.15</v>
      </c>
      <c r="H187" s="5">
        <v>850</v>
      </c>
      <c r="I187" s="5">
        <v>1</v>
      </c>
      <c r="J187" s="5">
        <v>0</v>
      </c>
      <c r="K187" s="5">
        <v>18.661016949152543</v>
      </c>
      <c r="L187" s="5">
        <v>47.288135593220339</v>
      </c>
      <c r="M187" s="5">
        <v>22.203389830508474</v>
      </c>
      <c r="N187" s="5">
        <v>11.847457627118644</v>
      </c>
      <c r="O187" s="5"/>
      <c r="P187" t="s">
        <v>68</v>
      </c>
      <c r="Q187" t="s">
        <v>69</v>
      </c>
    </row>
    <row r="188" spans="1:17" x14ac:dyDescent="0.3">
      <c r="A188">
        <f t="shared" si="2"/>
        <v>187</v>
      </c>
      <c r="B188">
        <v>44.18</v>
      </c>
      <c r="C188" s="5">
        <v>5.34</v>
      </c>
      <c r="D188" s="5">
        <v>45.35</v>
      </c>
      <c r="E188" s="5">
        <v>5.93</v>
      </c>
      <c r="F188" s="5">
        <v>4.58</v>
      </c>
      <c r="G188" s="5">
        <v>0.2</v>
      </c>
      <c r="H188" s="5">
        <v>650</v>
      </c>
      <c r="I188" s="5">
        <v>1</v>
      </c>
      <c r="J188" s="5">
        <v>0</v>
      </c>
      <c r="K188" s="5">
        <v>19.113341698034294</v>
      </c>
      <c r="L188" s="5">
        <v>30.719364282726893</v>
      </c>
      <c r="M188" s="5">
        <v>39.732329569217903</v>
      </c>
      <c r="N188" s="5">
        <v>10.434964450020912</v>
      </c>
      <c r="O188" s="5"/>
      <c r="P188" t="s">
        <v>68</v>
      </c>
      <c r="Q188" t="s">
        <v>69</v>
      </c>
    </row>
    <row r="189" spans="1:17" x14ac:dyDescent="0.3">
      <c r="A189">
        <f t="shared" si="2"/>
        <v>188</v>
      </c>
      <c r="B189">
        <v>44.18</v>
      </c>
      <c r="C189" s="5">
        <v>5.34</v>
      </c>
      <c r="D189" s="5">
        <v>45.35</v>
      </c>
      <c r="E189" s="5">
        <v>5.93</v>
      </c>
      <c r="F189" s="5">
        <v>4.58</v>
      </c>
      <c r="G189" s="5">
        <v>0.2</v>
      </c>
      <c r="H189" s="5">
        <v>700</v>
      </c>
      <c r="I189" s="5">
        <v>1</v>
      </c>
      <c r="J189" s="5">
        <v>0</v>
      </c>
      <c r="K189" s="5">
        <v>19.006744328632742</v>
      </c>
      <c r="L189" s="5">
        <v>30.533415082771306</v>
      </c>
      <c r="M189" s="5">
        <v>38.217862252197015</v>
      </c>
      <c r="N189" s="5">
        <v>12.241978336398937</v>
      </c>
      <c r="O189" s="5"/>
      <c r="P189" t="s">
        <v>68</v>
      </c>
      <c r="Q189" t="s">
        <v>69</v>
      </c>
    </row>
    <row r="190" spans="1:17" x14ac:dyDescent="0.3">
      <c r="A190">
        <f t="shared" si="2"/>
        <v>189</v>
      </c>
      <c r="B190">
        <v>44.18</v>
      </c>
      <c r="C190" s="5">
        <v>5.34</v>
      </c>
      <c r="D190" s="5">
        <v>45.35</v>
      </c>
      <c r="E190" s="5">
        <v>5.93</v>
      </c>
      <c r="F190" s="5">
        <v>4.58</v>
      </c>
      <c r="G190" s="5">
        <v>0.2</v>
      </c>
      <c r="H190" s="5">
        <v>750</v>
      </c>
      <c r="I190" s="5">
        <v>1</v>
      </c>
      <c r="J190" s="5">
        <v>0</v>
      </c>
      <c r="K190" s="5">
        <v>20.117862223125382</v>
      </c>
      <c r="L190" s="5">
        <v>32.452753505385083</v>
      </c>
      <c r="M190" s="5">
        <v>34.545824019508231</v>
      </c>
      <c r="N190" s="5">
        <v>12.883560251981304</v>
      </c>
      <c r="O190" s="5"/>
      <c r="P190" t="s">
        <v>68</v>
      </c>
      <c r="Q190" t="s">
        <v>69</v>
      </c>
    </row>
    <row r="191" spans="1:17" x14ac:dyDescent="0.3">
      <c r="A191">
        <f t="shared" si="2"/>
        <v>190</v>
      </c>
      <c r="B191">
        <v>44.18</v>
      </c>
      <c r="C191" s="5">
        <v>5.34</v>
      </c>
      <c r="D191" s="5">
        <v>45.35</v>
      </c>
      <c r="E191" s="5">
        <v>5.93</v>
      </c>
      <c r="F191" s="5">
        <v>4.58</v>
      </c>
      <c r="G191" s="5">
        <v>0.2</v>
      </c>
      <c r="H191" s="5">
        <v>800</v>
      </c>
      <c r="I191" s="5">
        <v>1</v>
      </c>
      <c r="J191" s="5">
        <v>0</v>
      </c>
      <c r="K191" s="5">
        <v>20.821917808219176</v>
      </c>
      <c r="L191" s="5">
        <v>34.853228962818001</v>
      </c>
      <c r="M191" s="5">
        <v>31.487279843444227</v>
      </c>
      <c r="N191" s="5">
        <v>12.83757338551859</v>
      </c>
      <c r="O191" s="5"/>
      <c r="P191" t="s">
        <v>68</v>
      </c>
      <c r="Q191" t="s">
        <v>69</v>
      </c>
    </row>
    <row r="192" spans="1:17" x14ac:dyDescent="0.3">
      <c r="A192">
        <f t="shared" si="2"/>
        <v>191</v>
      </c>
      <c r="B192">
        <v>44.18</v>
      </c>
      <c r="C192" s="5">
        <v>5.34</v>
      </c>
      <c r="D192" s="5">
        <v>45.35</v>
      </c>
      <c r="E192" s="5">
        <v>5.93</v>
      </c>
      <c r="F192" s="5">
        <v>4.58</v>
      </c>
      <c r="G192" s="5">
        <v>0.2</v>
      </c>
      <c r="H192" s="5">
        <v>850</v>
      </c>
      <c r="I192" s="5">
        <v>1</v>
      </c>
      <c r="J192" s="5">
        <v>0</v>
      </c>
      <c r="K192" s="5">
        <v>21.387175172929517</v>
      </c>
      <c r="L192" s="5">
        <v>37.147130304729856</v>
      </c>
      <c r="M192" s="5">
        <v>28.192185455225275</v>
      </c>
      <c r="N192" s="5">
        <v>13.273509067115349</v>
      </c>
      <c r="O192" s="5"/>
      <c r="P192" t="s">
        <v>68</v>
      </c>
      <c r="Q192" t="s">
        <v>69</v>
      </c>
    </row>
    <row r="193" spans="1:17" x14ac:dyDescent="0.3">
      <c r="A193">
        <f t="shared" si="2"/>
        <v>192</v>
      </c>
      <c r="B193">
        <v>44.18</v>
      </c>
      <c r="C193" s="5">
        <v>5.34</v>
      </c>
      <c r="D193" s="5">
        <v>45.35</v>
      </c>
      <c r="E193" s="5">
        <v>5.93</v>
      </c>
      <c r="F193" s="5">
        <v>4.58</v>
      </c>
      <c r="G193" s="5">
        <v>0.25</v>
      </c>
      <c r="H193" s="5">
        <v>650</v>
      </c>
      <c r="I193" s="5">
        <v>1</v>
      </c>
      <c r="J193" s="5">
        <v>0</v>
      </c>
      <c r="K193" s="5">
        <v>15.707515233581583</v>
      </c>
      <c r="L193" s="5">
        <v>30.737982396750169</v>
      </c>
      <c r="M193" s="5">
        <v>42.428345745881288</v>
      </c>
      <c r="N193" s="5">
        <v>11.126156623786954</v>
      </c>
      <c r="O193" s="5"/>
      <c r="P193" t="s">
        <v>68</v>
      </c>
      <c r="Q193" t="s">
        <v>69</v>
      </c>
    </row>
    <row r="194" spans="1:17" x14ac:dyDescent="0.3">
      <c r="A194">
        <f t="shared" si="2"/>
        <v>193</v>
      </c>
      <c r="B194">
        <v>44.18</v>
      </c>
      <c r="C194" s="5">
        <v>5.34</v>
      </c>
      <c r="D194" s="5">
        <v>45.35</v>
      </c>
      <c r="E194" s="5">
        <v>5.93</v>
      </c>
      <c r="F194" s="5">
        <v>4.58</v>
      </c>
      <c r="G194" s="5">
        <v>0.25</v>
      </c>
      <c r="H194" s="5">
        <v>700</v>
      </c>
      <c r="I194" s="5">
        <v>1</v>
      </c>
      <c r="J194" s="5">
        <v>0</v>
      </c>
      <c r="K194" s="5">
        <v>17.299301919720765</v>
      </c>
      <c r="L194" s="5">
        <v>29.755671902268759</v>
      </c>
      <c r="M194" s="5">
        <v>40.27050610820244</v>
      </c>
      <c r="N194" s="5">
        <v>12.674520069808027</v>
      </c>
      <c r="O194" s="5"/>
      <c r="P194" t="s">
        <v>68</v>
      </c>
      <c r="Q194" t="s">
        <v>69</v>
      </c>
    </row>
    <row r="195" spans="1:17" x14ac:dyDescent="0.3">
      <c r="A195">
        <f t="shared" si="2"/>
        <v>194</v>
      </c>
      <c r="B195">
        <v>44.18</v>
      </c>
      <c r="C195" s="5">
        <v>5.34</v>
      </c>
      <c r="D195" s="5">
        <v>45.35</v>
      </c>
      <c r="E195" s="5">
        <v>5.93</v>
      </c>
      <c r="F195" s="5">
        <v>4.58</v>
      </c>
      <c r="G195" s="5">
        <v>0.25</v>
      </c>
      <c r="H195" s="5">
        <v>750</v>
      </c>
      <c r="I195" s="5">
        <v>1</v>
      </c>
      <c r="J195" s="5">
        <v>0</v>
      </c>
      <c r="K195" s="5">
        <v>17.956920452121988</v>
      </c>
      <c r="L195" s="5">
        <v>33.52527191298784</v>
      </c>
      <c r="M195" s="5">
        <v>35.956493921944976</v>
      </c>
      <c r="N195" s="5">
        <v>12.561313712945191</v>
      </c>
      <c r="O195" s="5"/>
      <c r="P195" t="s">
        <v>68</v>
      </c>
      <c r="Q195" t="s">
        <v>69</v>
      </c>
    </row>
    <row r="196" spans="1:17" x14ac:dyDescent="0.3">
      <c r="A196">
        <f t="shared" ref="A196:A259" si="3">A195+1</f>
        <v>195</v>
      </c>
      <c r="B196">
        <v>44.18</v>
      </c>
      <c r="C196" s="5">
        <v>5.34</v>
      </c>
      <c r="D196" s="5">
        <v>45.35</v>
      </c>
      <c r="E196" s="5">
        <v>5.93</v>
      </c>
      <c r="F196" s="5">
        <v>4.58</v>
      </c>
      <c r="G196" s="5">
        <v>0.25</v>
      </c>
      <c r="H196" s="5">
        <v>800</v>
      </c>
      <c r="I196" s="5">
        <v>1</v>
      </c>
      <c r="J196" s="5">
        <v>0</v>
      </c>
      <c r="K196" s="5">
        <v>20.697482459760625</v>
      </c>
      <c r="L196" s="5">
        <v>35.080478745356992</v>
      </c>
      <c r="M196" s="5">
        <v>31.159719356170037</v>
      </c>
      <c r="N196" s="5">
        <v>13.06231943871234</v>
      </c>
      <c r="O196" s="5"/>
      <c r="P196" t="s">
        <v>68</v>
      </c>
      <c r="Q196" t="s">
        <v>69</v>
      </c>
    </row>
    <row r="197" spans="1:17" x14ac:dyDescent="0.3">
      <c r="A197">
        <f t="shared" si="3"/>
        <v>196</v>
      </c>
      <c r="B197">
        <v>44.18</v>
      </c>
      <c r="C197" s="5">
        <v>5.34</v>
      </c>
      <c r="D197" s="5">
        <v>45.35</v>
      </c>
      <c r="E197" s="5">
        <v>5.93</v>
      </c>
      <c r="F197" s="5">
        <v>4.58</v>
      </c>
      <c r="G197" s="5">
        <v>0.25</v>
      </c>
      <c r="H197" s="5">
        <v>850</v>
      </c>
      <c r="I197" s="5">
        <v>1</v>
      </c>
      <c r="J197" s="5">
        <v>0</v>
      </c>
      <c r="K197" s="5">
        <v>22.191780821917806</v>
      </c>
      <c r="L197" s="5">
        <v>37.00587084148728</v>
      </c>
      <c r="M197" s="5">
        <v>27.240704500978474</v>
      </c>
      <c r="N197" s="5">
        <v>13.561643835616438</v>
      </c>
      <c r="O197" s="5"/>
      <c r="P197" t="s">
        <v>68</v>
      </c>
      <c r="Q197" t="s">
        <v>69</v>
      </c>
    </row>
    <row r="198" spans="1:17" x14ac:dyDescent="0.3">
      <c r="A198">
        <f t="shared" si="3"/>
        <v>197</v>
      </c>
      <c r="B198">
        <v>44.18</v>
      </c>
      <c r="C198" s="5">
        <v>5.34</v>
      </c>
      <c r="D198" s="5">
        <v>45.35</v>
      </c>
      <c r="E198" s="5">
        <v>5.93</v>
      </c>
      <c r="F198" s="5">
        <v>4.58</v>
      </c>
      <c r="G198" s="5">
        <v>0.15</v>
      </c>
      <c r="H198" s="5">
        <v>700</v>
      </c>
      <c r="I198" s="5">
        <v>1</v>
      </c>
      <c r="J198" s="5">
        <v>0</v>
      </c>
      <c r="K198" s="5">
        <v>20.853730174270609</v>
      </c>
      <c r="L198" s="5">
        <v>37.066771098492268</v>
      </c>
      <c r="M198" s="5">
        <v>30.135108674368514</v>
      </c>
      <c r="N198" s="5">
        <v>11.944390052868611</v>
      </c>
      <c r="O198" s="5"/>
      <c r="P198" t="s">
        <v>68</v>
      </c>
      <c r="Q198" t="s">
        <v>69</v>
      </c>
    </row>
    <row r="199" spans="1:17" x14ac:dyDescent="0.3">
      <c r="A199">
        <f t="shared" si="3"/>
        <v>198</v>
      </c>
      <c r="B199">
        <v>44.18</v>
      </c>
      <c r="C199" s="5">
        <v>5.34</v>
      </c>
      <c r="D199" s="5">
        <v>45.35</v>
      </c>
      <c r="E199" s="5">
        <v>5.93</v>
      </c>
      <c r="F199" s="5">
        <v>4.58</v>
      </c>
      <c r="G199" s="5">
        <v>0.18</v>
      </c>
      <c r="H199" s="5">
        <v>700</v>
      </c>
      <c r="I199" s="5">
        <v>1</v>
      </c>
      <c r="J199" s="5">
        <v>0</v>
      </c>
      <c r="K199" s="5">
        <v>21.172774869109947</v>
      </c>
      <c r="L199" s="5">
        <v>33.089005235602095</v>
      </c>
      <c r="M199" s="5">
        <v>35.141361256544499</v>
      </c>
      <c r="N199" s="5">
        <v>10.596858638743454</v>
      </c>
      <c r="O199" s="5"/>
      <c r="P199" t="s">
        <v>68</v>
      </c>
      <c r="Q199" t="s">
        <v>69</v>
      </c>
    </row>
    <row r="200" spans="1:17" x14ac:dyDescent="0.3">
      <c r="A200">
        <f t="shared" si="3"/>
        <v>199</v>
      </c>
      <c r="B200">
        <v>44.18</v>
      </c>
      <c r="C200" s="5">
        <v>5.34</v>
      </c>
      <c r="D200" s="5">
        <v>45.35</v>
      </c>
      <c r="E200" s="5">
        <v>5.93</v>
      </c>
      <c r="F200" s="5">
        <v>4.58</v>
      </c>
      <c r="G200" s="5">
        <v>0.21</v>
      </c>
      <c r="H200" s="5">
        <v>700</v>
      </c>
      <c r="I200" s="5">
        <v>1</v>
      </c>
      <c r="J200" s="5">
        <v>0</v>
      </c>
      <c r="K200" s="5">
        <v>20.166047629451604</v>
      </c>
      <c r="L200" s="5">
        <v>32.597771466025776</v>
      </c>
      <c r="M200" s="5">
        <v>40.943849683198593</v>
      </c>
      <c r="N200" s="5">
        <v>6.2923312213240106</v>
      </c>
      <c r="O200" s="5"/>
      <c r="P200" t="s">
        <v>68</v>
      </c>
      <c r="Q200" t="s">
        <v>69</v>
      </c>
    </row>
    <row r="201" spans="1:17" x14ac:dyDescent="0.3">
      <c r="A201">
        <f t="shared" si="3"/>
        <v>200</v>
      </c>
      <c r="B201">
        <v>44.18</v>
      </c>
      <c r="C201" s="5">
        <v>5.34</v>
      </c>
      <c r="D201" s="5">
        <v>45.35</v>
      </c>
      <c r="E201" s="5">
        <v>5.93</v>
      </c>
      <c r="F201" s="5">
        <v>4.58</v>
      </c>
      <c r="G201" s="5">
        <v>0.24</v>
      </c>
      <c r="H201" s="5">
        <v>700</v>
      </c>
      <c r="I201" s="5">
        <v>1</v>
      </c>
      <c r="J201" s="5">
        <v>0</v>
      </c>
      <c r="K201" s="5">
        <v>21.150320806599449</v>
      </c>
      <c r="L201" s="5">
        <v>30.774518790100824</v>
      </c>
      <c r="M201" s="5">
        <v>45.760769935838681</v>
      </c>
      <c r="N201" s="5">
        <v>2.3143904674610449</v>
      </c>
      <c r="O201" s="5"/>
      <c r="P201" t="s">
        <v>68</v>
      </c>
      <c r="Q201" t="s">
        <v>69</v>
      </c>
    </row>
    <row r="202" spans="1:17" x14ac:dyDescent="0.3">
      <c r="A202">
        <f t="shared" si="3"/>
        <v>201</v>
      </c>
      <c r="B202">
        <v>44.18</v>
      </c>
      <c r="C202" s="5">
        <v>5.34</v>
      </c>
      <c r="D202" s="5">
        <v>45.35</v>
      </c>
      <c r="E202" s="5">
        <v>5.93</v>
      </c>
      <c r="F202" s="5">
        <v>4.58</v>
      </c>
      <c r="G202" s="5">
        <v>0.15</v>
      </c>
      <c r="H202" s="5">
        <v>750</v>
      </c>
      <c r="I202" s="5">
        <v>1</v>
      </c>
      <c r="J202" s="5">
        <v>0</v>
      </c>
      <c r="K202" s="5">
        <v>21.367365542388331</v>
      </c>
      <c r="L202" s="5">
        <v>40.145852324521421</v>
      </c>
      <c r="M202" s="5">
        <v>27.657247037374656</v>
      </c>
      <c r="N202" s="5">
        <v>10.829535095715588</v>
      </c>
      <c r="O202" s="5"/>
      <c r="P202" t="s">
        <v>68</v>
      </c>
      <c r="Q202" t="s">
        <v>69</v>
      </c>
    </row>
    <row r="203" spans="1:17" x14ac:dyDescent="0.3">
      <c r="A203">
        <f t="shared" si="3"/>
        <v>202</v>
      </c>
      <c r="B203">
        <v>44.18</v>
      </c>
      <c r="C203" s="5">
        <v>5.34</v>
      </c>
      <c r="D203" s="5">
        <v>45.35</v>
      </c>
      <c r="E203" s="5">
        <v>5.93</v>
      </c>
      <c r="F203" s="5">
        <v>4.58</v>
      </c>
      <c r="G203" s="5">
        <v>0.18</v>
      </c>
      <c r="H203" s="5">
        <v>750</v>
      </c>
      <c r="I203" s="5">
        <v>1</v>
      </c>
      <c r="J203" s="5">
        <v>0</v>
      </c>
      <c r="K203" s="5">
        <v>20.364802565644418</v>
      </c>
      <c r="L203" s="5">
        <v>35.939065945079172</v>
      </c>
      <c r="M203" s="5">
        <v>33.092804169172183</v>
      </c>
      <c r="N203" s="5">
        <v>10.60332732010423</v>
      </c>
      <c r="O203" s="5"/>
      <c r="P203" t="s">
        <v>68</v>
      </c>
      <c r="Q203" t="s">
        <v>69</v>
      </c>
    </row>
    <row r="204" spans="1:17" x14ac:dyDescent="0.3">
      <c r="A204">
        <f t="shared" si="3"/>
        <v>203</v>
      </c>
      <c r="B204">
        <v>44.18</v>
      </c>
      <c r="C204" s="5">
        <v>5.34</v>
      </c>
      <c r="D204" s="5">
        <v>45.35</v>
      </c>
      <c r="E204" s="5">
        <v>5.93</v>
      </c>
      <c r="F204" s="5">
        <v>4.58</v>
      </c>
      <c r="G204" s="5">
        <v>0.21</v>
      </c>
      <c r="H204" s="5">
        <v>750</v>
      </c>
      <c r="I204" s="5">
        <v>1</v>
      </c>
      <c r="J204" s="5">
        <v>0</v>
      </c>
      <c r="K204" s="5">
        <v>20.287986245433054</v>
      </c>
      <c r="L204" s="5">
        <v>33.634214485278314</v>
      </c>
      <c r="M204" s="5">
        <v>40.03868471953578</v>
      </c>
      <c r="N204" s="5">
        <v>6.0391145497528473</v>
      </c>
      <c r="O204" s="5"/>
      <c r="P204" t="s">
        <v>68</v>
      </c>
      <c r="Q204" t="s">
        <v>69</v>
      </c>
    </row>
    <row r="205" spans="1:17" x14ac:dyDescent="0.3">
      <c r="A205">
        <f t="shared" si="3"/>
        <v>204</v>
      </c>
      <c r="B205">
        <v>44.18</v>
      </c>
      <c r="C205" s="5">
        <v>5.34</v>
      </c>
      <c r="D205" s="5">
        <v>45.35</v>
      </c>
      <c r="E205" s="5">
        <v>5.93</v>
      </c>
      <c r="F205" s="5">
        <v>4.58</v>
      </c>
      <c r="G205" s="5">
        <v>0.24</v>
      </c>
      <c r="H205" s="5">
        <v>750</v>
      </c>
      <c r="I205" s="5">
        <v>1</v>
      </c>
      <c r="J205" s="5">
        <v>0</v>
      </c>
      <c r="K205" s="5">
        <v>20.616700427638982</v>
      </c>
      <c r="L205" s="5">
        <v>30.722484807562459</v>
      </c>
      <c r="M205" s="5">
        <v>44.474454197614229</v>
      </c>
      <c r="N205" s="5">
        <v>4.1863605671843347</v>
      </c>
      <c r="O205" s="5"/>
      <c r="P205" t="s">
        <v>68</v>
      </c>
      <c r="Q205" t="s">
        <v>69</v>
      </c>
    </row>
    <row r="206" spans="1:17" x14ac:dyDescent="0.3">
      <c r="A206">
        <f t="shared" si="3"/>
        <v>205</v>
      </c>
      <c r="B206">
        <v>44.18</v>
      </c>
      <c r="C206" s="5">
        <v>5.34</v>
      </c>
      <c r="D206" s="5">
        <v>45.35</v>
      </c>
      <c r="E206" s="5">
        <v>5.93</v>
      </c>
      <c r="F206" s="5">
        <v>4.58</v>
      </c>
      <c r="G206" s="5">
        <v>0.15</v>
      </c>
      <c r="H206" s="5">
        <v>800</v>
      </c>
      <c r="I206" s="5">
        <v>1</v>
      </c>
      <c r="J206" s="5">
        <v>0</v>
      </c>
      <c r="K206" s="5">
        <v>20.284958871915393</v>
      </c>
      <c r="L206" s="5">
        <v>40.966509988249122</v>
      </c>
      <c r="M206" s="5">
        <v>28.275558166862517</v>
      </c>
      <c r="N206" s="5">
        <v>10.472972972972974</v>
      </c>
      <c r="O206" s="5"/>
      <c r="P206" t="s">
        <v>68</v>
      </c>
      <c r="Q206" t="s">
        <v>69</v>
      </c>
    </row>
    <row r="207" spans="1:17" x14ac:dyDescent="0.3">
      <c r="A207">
        <f t="shared" si="3"/>
        <v>206</v>
      </c>
      <c r="B207">
        <v>44.18</v>
      </c>
      <c r="C207" s="5">
        <v>5.34</v>
      </c>
      <c r="D207" s="5">
        <v>45.35</v>
      </c>
      <c r="E207" s="5">
        <v>5.93</v>
      </c>
      <c r="F207" s="5">
        <v>4.58</v>
      </c>
      <c r="G207" s="5">
        <v>0.18</v>
      </c>
      <c r="H207" s="5">
        <v>800</v>
      </c>
      <c r="I207" s="5">
        <v>1</v>
      </c>
      <c r="J207" s="5">
        <v>0</v>
      </c>
      <c r="K207" s="5">
        <v>21.487455197132618</v>
      </c>
      <c r="L207" s="5">
        <v>35.394265232974909</v>
      </c>
      <c r="M207" s="5">
        <v>32.150537634408607</v>
      </c>
      <c r="N207" s="5">
        <v>10.967741935483872</v>
      </c>
      <c r="O207" s="5"/>
      <c r="P207" t="s">
        <v>68</v>
      </c>
      <c r="Q207" t="s">
        <v>69</v>
      </c>
    </row>
    <row r="208" spans="1:17" x14ac:dyDescent="0.3">
      <c r="A208">
        <f t="shared" si="3"/>
        <v>207</v>
      </c>
      <c r="B208">
        <v>44.18</v>
      </c>
      <c r="C208" s="5">
        <v>5.34</v>
      </c>
      <c r="D208" s="5">
        <v>45.35</v>
      </c>
      <c r="E208" s="5">
        <v>5.93</v>
      </c>
      <c r="F208" s="5">
        <v>4.58</v>
      </c>
      <c r="G208" s="5">
        <v>0.21</v>
      </c>
      <c r="H208" s="5">
        <v>800</v>
      </c>
      <c r="I208" s="5">
        <v>1</v>
      </c>
      <c r="J208" s="5">
        <v>0</v>
      </c>
      <c r="K208" s="5">
        <v>18.739480082289134</v>
      </c>
      <c r="L208" s="5">
        <v>33.121376472788484</v>
      </c>
      <c r="M208" s="5">
        <v>41.069758743220497</v>
      </c>
      <c r="N208" s="5">
        <v>7.0693847017018889</v>
      </c>
      <c r="O208" s="5"/>
      <c r="P208" t="s">
        <v>68</v>
      </c>
      <c r="Q208" t="s">
        <v>69</v>
      </c>
    </row>
    <row r="209" spans="1:17" x14ac:dyDescent="0.3">
      <c r="A209">
        <f t="shared" si="3"/>
        <v>208</v>
      </c>
      <c r="B209">
        <v>44.18</v>
      </c>
      <c r="C209" s="5">
        <v>5.34</v>
      </c>
      <c r="D209" s="5">
        <v>45.35</v>
      </c>
      <c r="E209" s="5">
        <v>5.93</v>
      </c>
      <c r="F209" s="5">
        <v>4.58</v>
      </c>
      <c r="G209" s="5">
        <v>0.24</v>
      </c>
      <c r="H209" s="5">
        <v>800</v>
      </c>
      <c r="I209" s="5">
        <v>1</v>
      </c>
      <c r="J209" s="5">
        <v>0</v>
      </c>
      <c r="K209" s="5">
        <v>18.437025796661612</v>
      </c>
      <c r="L209" s="5">
        <v>27.04855842185129</v>
      </c>
      <c r="M209" s="5">
        <v>48.767071320182097</v>
      </c>
      <c r="N209" s="5">
        <v>5.7473444613050075</v>
      </c>
      <c r="O209" s="5"/>
      <c r="P209" t="s">
        <v>68</v>
      </c>
      <c r="Q209" t="s">
        <v>69</v>
      </c>
    </row>
    <row r="210" spans="1:17" x14ac:dyDescent="0.3">
      <c r="A210">
        <f t="shared" si="3"/>
        <v>209</v>
      </c>
      <c r="B210">
        <v>44.18</v>
      </c>
      <c r="C210" s="5">
        <v>5.34</v>
      </c>
      <c r="D210" s="5">
        <v>45.35</v>
      </c>
      <c r="E210" s="5">
        <v>5.93</v>
      </c>
      <c r="F210" s="5">
        <v>4.58</v>
      </c>
      <c r="G210" s="5">
        <v>0.15</v>
      </c>
      <c r="H210" s="5">
        <v>750</v>
      </c>
      <c r="I210" s="5">
        <v>1</v>
      </c>
      <c r="J210" s="5">
        <v>0</v>
      </c>
      <c r="K210" s="5">
        <v>18.164898566908619</v>
      </c>
      <c r="L210" s="5">
        <v>38.358458961474042</v>
      </c>
      <c r="M210" s="5">
        <v>31.639679880885915</v>
      </c>
      <c r="N210" s="5">
        <v>11.836962590731435</v>
      </c>
      <c r="O210" s="5"/>
      <c r="P210" t="s">
        <v>68</v>
      </c>
      <c r="Q210" t="s">
        <v>69</v>
      </c>
    </row>
    <row r="211" spans="1:17" x14ac:dyDescent="0.3">
      <c r="A211">
        <f t="shared" si="3"/>
        <v>210</v>
      </c>
      <c r="B211">
        <v>44.18</v>
      </c>
      <c r="C211" s="5">
        <v>5.34</v>
      </c>
      <c r="D211" s="5">
        <v>45.35</v>
      </c>
      <c r="E211" s="5">
        <v>5.93</v>
      </c>
      <c r="F211" s="5">
        <v>4.58</v>
      </c>
      <c r="G211" s="5">
        <v>0.15</v>
      </c>
      <c r="H211" s="5">
        <v>850</v>
      </c>
      <c r="I211" s="5">
        <v>1</v>
      </c>
      <c r="J211" s="5">
        <v>0</v>
      </c>
      <c r="K211" s="5">
        <v>21.343638525564803</v>
      </c>
      <c r="L211" s="5">
        <v>37.594133967499012</v>
      </c>
      <c r="M211" s="5">
        <v>33.234244946492268</v>
      </c>
      <c r="N211" s="5">
        <v>7.8279825604439157</v>
      </c>
      <c r="O211" s="5"/>
      <c r="P211" t="s">
        <v>68</v>
      </c>
      <c r="Q211" t="s">
        <v>69</v>
      </c>
    </row>
    <row r="212" spans="1:17" x14ac:dyDescent="0.3">
      <c r="A212">
        <f t="shared" si="3"/>
        <v>211</v>
      </c>
      <c r="B212">
        <v>49.3</v>
      </c>
      <c r="C212" s="5">
        <v>5.9</v>
      </c>
      <c r="D212" s="5">
        <v>44.37</v>
      </c>
      <c r="E212" s="5">
        <v>8.4</v>
      </c>
      <c r="F212" s="5">
        <v>0.33</v>
      </c>
      <c r="G212" s="5">
        <v>0.17</v>
      </c>
      <c r="H212" s="5">
        <v>780</v>
      </c>
      <c r="I212" s="5">
        <v>1</v>
      </c>
      <c r="J212" s="5">
        <v>0.65</v>
      </c>
      <c r="K212" s="5">
        <v>20.2</v>
      </c>
      <c r="L212" s="5">
        <v>15.2</v>
      </c>
      <c r="M212" s="5">
        <v>16.399999999999999</v>
      </c>
      <c r="N212" s="5">
        <v>4.7</v>
      </c>
      <c r="O212" s="5"/>
      <c r="P212" t="s">
        <v>70</v>
      </c>
      <c r="Q212" t="s">
        <v>71</v>
      </c>
    </row>
    <row r="213" spans="1:17" x14ac:dyDescent="0.3">
      <c r="A213">
        <f t="shared" si="3"/>
        <v>212</v>
      </c>
      <c r="B213">
        <v>49.3</v>
      </c>
      <c r="C213" s="5">
        <v>5.9</v>
      </c>
      <c r="D213" s="5">
        <v>44.37</v>
      </c>
      <c r="E213" s="5">
        <v>8.4</v>
      </c>
      <c r="F213" s="5">
        <v>0.33</v>
      </c>
      <c r="G213" s="5">
        <v>0.17</v>
      </c>
      <c r="H213" s="5">
        <v>780</v>
      </c>
      <c r="I213" s="5">
        <v>1</v>
      </c>
      <c r="J213" s="5">
        <v>0.65</v>
      </c>
      <c r="K213" s="5">
        <v>19.8</v>
      </c>
      <c r="L213" s="5">
        <v>16.399999999999999</v>
      </c>
      <c r="M213" s="5">
        <v>15.9</v>
      </c>
      <c r="N213" s="5">
        <v>4.9000000000000004</v>
      </c>
      <c r="O213" s="5"/>
      <c r="P213" t="s">
        <v>70</v>
      </c>
      <c r="Q213" t="s">
        <v>71</v>
      </c>
    </row>
    <row r="214" spans="1:17" x14ac:dyDescent="0.3">
      <c r="A214">
        <f t="shared" si="3"/>
        <v>213</v>
      </c>
      <c r="B214">
        <v>49.3</v>
      </c>
      <c r="C214" s="5">
        <v>5.9</v>
      </c>
      <c r="D214" s="5">
        <v>44.37</v>
      </c>
      <c r="E214" s="5">
        <v>8.4</v>
      </c>
      <c r="F214" s="5">
        <v>0.33</v>
      </c>
      <c r="G214" s="5">
        <v>0.17</v>
      </c>
      <c r="H214" s="5">
        <v>780</v>
      </c>
      <c r="I214" s="5">
        <v>3</v>
      </c>
      <c r="J214" s="5">
        <v>0.65</v>
      </c>
      <c r="K214" s="5">
        <v>20.3</v>
      </c>
      <c r="L214" s="5">
        <v>13.8</v>
      </c>
      <c r="M214" s="5">
        <v>16.899999999999999</v>
      </c>
      <c r="N214" s="5">
        <v>4.4000000000000004</v>
      </c>
      <c r="O214" s="5"/>
      <c r="P214" t="s">
        <v>70</v>
      </c>
      <c r="Q214" t="s">
        <v>71</v>
      </c>
    </row>
    <row r="215" spans="1:17" x14ac:dyDescent="0.3">
      <c r="A215">
        <f t="shared" si="3"/>
        <v>214</v>
      </c>
      <c r="B215">
        <v>42.8</v>
      </c>
      <c r="C215" s="5">
        <v>5.5</v>
      </c>
      <c r="D215" s="5">
        <f t="shared" ref="D215:D224" si="4">100-B215-C215-F215</f>
        <v>37.400000000000006</v>
      </c>
      <c r="E215" s="5">
        <v>9.6999999999999993</v>
      </c>
      <c r="F215" s="5">
        <v>14.3</v>
      </c>
      <c r="G215" s="5">
        <v>0.21</v>
      </c>
      <c r="H215" s="5">
        <v>700</v>
      </c>
      <c r="I215" s="5">
        <v>1</v>
      </c>
      <c r="J215" s="5">
        <v>0</v>
      </c>
      <c r="K215" s="5">
        <v>28.644897170007418</v>
      </c>
      <c r="L215" s="5">
        <v>26.894412762818792</v>
      </c>
      <c r="M215" s="5">
        <v>34.000192686914993</v>
      </c>
      <c r="N215" s="5">
        <v>5.468780311102428</v>
      </c>
      <c r="O215" s="5">
        <v>0.93136253937798108</v>
      </c>
      <c r="P215" t="s">
        <v>32</v>
      </c>
      <c r="Q215" t="s">
        <v>72</v>
      </c>
    </row>
    <row r="216" spans="1:17" x14ac:dyDescent="0.3">
      <c r="A216">
        <f t="shared" si="3"/>
        <v>215</v>
      </c>
      <c r="B216">
        <v>42.8</v>
      </c>
      <c r="C216" s="5">
        <v>5.5</v>
      </c>
      <c r="D216" s="5">
        <f t="shared" si="4"/>
        <v>37.400000000000006</v>
      </c>
      <c r="E216" s="5">
        <v>9.6999999999999993</v>
      </c>
      <c r="F216" s="5">
        <v>14.3</v>
      </c>
      <c r="G216" s="5">
        <v>0.21</v>
      </c>
      <c r="H216" s="5">
        <v>725</v>
      </c>
      <c r="I216" s="5">
        <v>1</v>
      </c>
      <c r="J216" s="5">
        <v>0</v>
      </c>
      <c r="K216" s="5">
        <v>26.45347226752018</v>
      </c>
      <c r="L216" s="5">
        <v>21.835752841754228</v>
      </c>
      <c r="M216" s="5">
        <v>40.473240867219204</v>
      </c>
      <c r="N216" s="5">
        <v>5.8730138646414813</v>
      </c>
      <c r="O216" s="5">
        <v>1.1076266190509996</v>
      </c>
      <c r="P216" t="s">
        <v>32</v>
      </c>
      <c r="Q216" t="s">
        <v>73</v>
      </c>
    </row>
    <row r="217" spans="1:17" x14ac:dyDescent="0.3">
      <c r="A217">
        <f t="shared" si="3"/>
        <v>216</v>
      </c>
      <c r="B217">
        <v>42.8</v>
      </c>
      <c r="C217" s="5">
        <v>5.5</v>
      </c>
      <c r="D217" s="5">
        <f t="shared" si="4"/>
        <v>37.400000000000006</v>
      </c>
      <c r="E217" s="5">
        <v>9.6999999999999993</v>
      </c>
      <c r="F217" s="5">
        <v>14.3</v>
      </c>
      <c r="G217" s="5">
        <v>0.17</v>
      </c>
      <c r="H217" s="5">
        <v>750</v>
      </c>
      <c r="I217" s="5">
        <v>1</v>
      </c>
      <c r="J217" s="5">
        <v>0</v>
      </c>
      <c r="K217" s="5">
        <v>28.378121620024885</v>
      </c>
      <c r="L217" s="5">
        <v>31.41682040374765</v>
      </c>
      <c r="M217" s="5">
        <v>28.684454476134736</v>
      </c>
      <c r="N217" s="5">
        <v>6.1828438018350935</v>
      </c>
      <c r="O217" s="5">
        <v>1.2205519645121334</v>
      </c>
      <c r="P217" t="s">
        <v>32</v>
      </c>
      <c r="Q217" t="s">
        <v>74</v>
      </c>
    </row>
    <row r="218" spans="1:17" x14ac:dyDescent="0.3">
      <c r="A218">
        <f t="shared" si="3"/>
        <v>217</v>
      </c>
      <c r="B218">
        <v>42.8</v>
      </c>
      <c r="C218" s="5">
        <v>5.5</v>
      </c>
      <c r="D218" s="5">
        <f t="shared" si="4"/>
        <v>37.400000000000006</v>
      </c>
      <c r="E218" s="5">
        <v>9.6999999999999993</v>
      </c>
      <c r="F218" s="5">
        <v>14.3</v>
      </c>
      <c r="G218" s="5">
        <v>0.21</v>
      </c>
      <c r="H218" s="5">
        <v>750</v>
      </c>
      <c r="I218" s="5">
        <v>1</v>
      </c>
      <c r="J218" s="5">
        <v>0</v>
      </c>
      <c r="K218" s="5">
        <v>27.296441556208023</v>
      </c>
      <c r="L218" s="5">
        <v>30.645959216666128</v>
      </c>
      <c r="M218" s="5">
        <v>31.181471238596579</v>
      </c>
      <c r="N218" s="5">
        <v>5.7094384475132234</v>
      </c>
      <c r="O218" s="5">
        <v>1.2468356401881693</v>
      </c>
      <c r="P218" t="s">
        <v>32</v>
      </c>
      <c r="Q218" t="s">
        <v>75</v>
      </c>
    </row>
    <row r="219" spans="1:17" x14ac:dyDescent="0.3">
      <c r="A219">
        <f t="shared" si="3"/>
        <v>218</v>
      </c>
      <c r="B219">
        <v>46.85</v>
      </c>
      <c r="C219" s="5">
        <v>6.3</v>
      </c>
      <c r="D219" s="5">
        <f t="shared" si="4"/>
        <v>45.550000000000004</v>
      </c>
      <c r="E219" s="5">
        <v>9</v>
      </c>
      <c r="F219" s="5">
        <v>1.3</v>
      </c>
      <c r="G219" s="5">
        <v>0.18</v>
      </c>
      <c r="H219" s="5">
        <v>750</v>
      </c>
      <c r="I219" s="5">
        <v>1</v>
      </c>
      <c r="J219" s="5">
        <v>0</v>
      </c>
      <c r="K219" s="5">
        <v>17.786757717251525</v>
      </c>
      <c r="L219" s="5">
        <v>35.108686288061314</v>
      </c>
      <c r="M219" s="5">
        <v>30.586462122451653</v>
      </c>
      <c r="N219" s="5">
        <v>10.464994374208686</v>
      </c>
      <c r="O219" s="5">
        <v>0.85878904508543175</v>
      </c>
      <c r="P219" t="s">
        <v>76</v>
      </c>
      <c r="Q219" t="s">
        <v>77</v>
      </c>
    </row>
    <row r="220" spans="1:17" x14ac:dyDescent="0.3">
      <c r="A220">
        <f t="shared" si="3"/>
        <v>219</v>
      </c>
      <c r="B220">
        <v>46.85</v>
      </c>
      <c r="C220" s="5">
        <v>6.3</v>
      </c>
      <c r="D220" s="5">
        <f t="shared" si="4"/>
        <v>45.550000000000004</v>
      </c>
      <c r="E220" s="5">
        <v>9</v>
      </c>
      <c r="F220" s="5">
        <v>1.3</v>
      </c>
      <c r="G220" s="5">
        <v>0.22</v>
      </c>
      <c r="H220" s="5">
        <v>750</v>
      </c>
      <c r="I220" s="5">
        <v>1</v>
      </c>
      <c r="J220" s="5">
        <v>0</v>
      </c>
      <c r="K220" s="5">
        <v>18.571393205592301</v>
      </c>
      <c r="L220" s="5">
        <v>33.306219283412851</v>
      </c>
      <c r="M220" s="5">
        <v>32.861351429887442</v>
      </c>
      <c r="N220" s="5">
        <v>9.706146897443853</v>
      </c>
      <c r="O220" s="5">
        <v>0.94753218976180809</v>
      </c>
      <c r="P220" t="s">
        <v>76</v>
      </c>
      <c r="Q220" t="s">
        <v>77</v>
      </c>
    </row>
    <row r="221" spans="1:17" x14ac:dyDescent="0.3">
      <c r="A221">
        <f t="shared" si="3"/>
        <v>220</v>
      </c>
      <c r="B221">
        <v>46.85</v>
      </c>
      <c r="C221" s="5">
        <v>6.3</v>
      </c>
      <c r="D221" s="5">
        <f t="shared" si="4"/>
        <v>45.550000000000004</v>
      </c>
      <c r="E221" s="5">
        <v>9</v>
      </c>
      <c r="F221" s="5">
        <v>1.3</v>
      </c>
      <c r="G221" s="5">
        <v>0.27</v>
      </c>
      <c r="H221" s="5">
        <v>750</v>
      </c>
      <c r="I221" s="5">
        <v>1</v>
      </c>
      <c r="J221" s="5">
        <v>0</v>
      </c>
      <c r="K221" s="5">
        <v>15.762348784513728</v>
      </c>
      <c r="L221" s="5">
        <v>33.789485186665196</v>
      </c>
      <c r="M221" s="5">
        <v>35.490355013367243</v>
      </c>
      <c r="N221" s="5">
        <v>9.4550650397066587</v>
      </c>
      <c r="O221" s="5">
        <v>0.97575239537080982</v>
      </c>
      <c r="P221" t="s">
        <v>76</v>
      </c>
      <c r="Q221" t="s">
        <v>77</v>
      </c>
    </row>
    <row r="222" spans="1:17" x14ac:dyDescent="0.3">
      <c r="A222">
        <f t="shared" si="3"/>
        <v>221</v>
      </c>
      <c r="B222" s="6">
        <v>46.76</v>
      </c>
      <c r="C222" s="7">
        <v>5.68</v>
      </c>
      <c r="D222" s="7">
        <f t="shared" si="4"/>
        <v>39.46</v>
      </c>
      <c r="E222" s="7">
        <v>9.94</v>
      </c>
      <c r="F222" s="7">
        <v>8.1</v>
      </c>
      <c r="G222" s="7">
        <v>0.17</v>
      </c>
      <c r="H222" s="7">
        <v>750</v>
      </c>
      <c r="I222" s="7">
        <v>1</v>
      </c>
      <c r="J222" s="7">
        <v>0</v>
      </c>
      <c r="K222" s="5">
        <v>19.001068797046035</v>
      </c>
      <c r="L222" s="5">
        <v>31.951085733864574</v>
      </c>
      <c r="M222" s="5">
        <v>32.782913875662935</v>
      </c>
      <c r="N222" s="5">
        <v>9.9336824778848758</v>
      </c>
      <c r="O222" s="5">
        <v>0.97178425842422012</v>
      </c>
      <c r="P222" t="s">
        <v>76</v>
      </c>
      <c r="Q222" t="s">
        <v>77</v>
      </c>
    </row>
    <row r="223" spans="1:17" x14ac:dyDescent="0.3">
      <c r="A223">
        <f t="shared" si="3"/>
        <v>222</v>
      </c>
      <c r="B223" s="6">
        <v>46.76</v>
      </c>
      <c r="C223" s="7">
        <v>5.68</v>
      </c>
      <c r="D223" s="7">
        <f t="shared" si="4"/>
        <v>39.46</v>
      </c>
      <c r="E223" s="7">
        <v>9.94</v>
      </c>
      <c r="F223" s="7">
        <v>8.1</v>
      </c>
      <c r="G223" s="7">
        <v>0.21</v>
      </c>
      <c r="H223" s="7">
        <v>750</v>
      </c>
      <c r="I223" s="7">
        <v>1</v>
      </c>
      <c r="J223" s="7">
        <v>0</v>
      </c>
      <c r="K223" s="5">
        <v>21.798933521217162</v>
      </c>
      <c r="L223" s="5">
        <v>29.123555760549259</v>
      </c>
      <c r="M223" s="5">
        <v>34.426570975812993</v>
      </c>
      <c r="N223" s="5">
        <v>8.7784017496617768</v>
      </c>
      <c r="O223" s="5">
        <v>0.98298930074710433</v>
      </c>
      <c r="P223" t="s">
        <v>76</v>
      </c>
      <c r="Q223" t="s">
        <v>77</v>
      </c>
    </row>
    <row r="224" spans="1:17" x14ac:dyDescent="0.3">
      <c r="A224">
        <f t="shared" si="3"/>
        <v>223</v>
      </c>
      <c r="B224" s="6">
        <v>46.76</v>
      </c>
      <c r="C224" s="7">
        <v>5.68</v>
      </c>
      <c r="D224" s="7">
        <f t="shared" si="4"/>
        <v>39.46</v>
      </c>
      <c r="E224" s="7">
        <v>9.94</v>
      </c>
      <c r="F224" s="7">
        <v>8.1</v>
      </c>
      <c r="G224" s="7">
        <v>0.25</v>
      </c>
      <c r="H224" s="7">
        <v>750</v>
      </c>
      <c r="I224" s="7">
        <v>1</v>
      </c>
      <c r="J224" s="7">
        <v>0</v>
      </c>
      <c r="K224" s="5">
        <v>18.030213845180633</v>
      </c>
      <c r="L224" s="5">
        <v>28.78932622192383</v>
      </c>
      <c r="M224" s="5">
        <v>38.610254729584184</v>
      </c>
      <c r="N224" s="5">
        <v>8.5340141409650645</v>
      </c>
      <c r="O224" s="5">
        <v>0.97381637052161218</v>
      </c>
      <c r="P224" t="s">
        <v>76</v>
      </c>
      <c r="Q224" t="s">
        <v>77</v>
      </c>
    </row>
    <row r="225" spans="1:17" x14ac:dyDescent="0.3">
      <c r="A225">
        <f t="shared" si="3"/>
        <v>224</v>
      </c>
      <c r="B225">
        <v>53.833710000000004</v>
      </c>
      <c r="C225">
        <v>5.9211150000000004</v>
      </c>
      <c r="D225">
        <v>38.857934999999998</v>
      </c>
      <c r="E225">
        <v>5.28</v>
      </c>
      <c r="F225">
        <v>1.1499999999999999</v>
      </c>
      <c r="G225" s="7">
        <v>0</v>
      </c>
      <c r="H225" s="7">
        <v>850</v>
      </c>
      <c r="I225" s="7">
        <v>1</v>
      </c>
      <c r="J225">
        <v>1.2272727269999999</v>
      </c>
      <c r="K225">
        <v>48.324873096446701</v>
      </c>
      <c r="L225">
        <v>24.162436548223351</v>
      </c>
      <c r="M225">
        <v>21.421319796954315</v>
      </c>
      <c r="N225">
        <v>5.0761421319796955</v>
      </c>
      <c r="O225">
        <v>1.51</v>
      </c>
      <c r="P225" t="s">
        <v>78</v>
      </c>
      <c r="Q225" t="s">
        <v>79</v>
      </c>
    </row>
    <row r="226" spans="1:17" x14ac:dyDescent="0.3">
      <c r="A226">
        <f t="shared" si="3"/>
        <v>225</v>
      </c>
      <c r="B226">
        <v>53.833710000000004</v>
      </c>
      <c r="C226">
        <v>5.9211150000000004</v>
      </c>
      <c r="D226">
        <v>38.857934999999998</v>
      </c>
      <c r="E226">
        <v>5.28</v>
      </c>
      <c r="F226">
        <v>1.1499999999999999</v>
      </c>
      <c r="G226">
        <v>7.0000000000000007E-2</v>
      </c>
      <c r="H226">
        <v>850</v>
      </c>
      <c r="I226">
        <v>1</v>
      </c>
      <c r="J226">
        <v>1.2272727269999999</v>
      </c>
      <c r="K226">
        <v>45.566037735849058</v>
      </c>
      <c r="L226">
        <v>23.915094339622641</v>
      </c>
      <c r="M226">
        <v>23.632075471698112</v>
      </c>
      <c r="N226">
        <v>5.0943396226415096</v>
      </c>
      <c r="O226">
        <v>1.49</v>
      </c>
      <c r="P226" t="s">
        <v>78</v>
      </c>
      <c r="Q226" t="s">
        <v>79</v>
      </c>
    </row>
    <row r="227" spans="1:17" x14ac:dyDescent="0.3">
      <c r="A227">
        <f t="shared" si="3"/>
        <v>226</v>
      </c>
      <c r="B227">
        <v>53.833710000000004</v>
      </c>
      <c r="C227">
        <v>5.9211150000000004</v>
      </c>
      <c r="D227">
        <v>38.857934999999998</v>
      </c>
      <c r="E227">
        <v>5.28</v>
      </c>
      <c r="F227">
        <v>1.1499999999999999</v>
      </c>
      <c r="G227">
        <v>0.11</v>
      </c>
      <c r="H227">
        <v>850</v>
      </c>
      <c r="I227">
        <v>1</v>
      </c>
      <c r="J227">
        <v>1.2272727269999999</v>
      </c>
      <c r="K227">
        <v>45.141509433962263</v>
      </c>
      <c r="L227">
        <v>22.641509433962263</v>
      </c>
      <c r="M227">
        <v>26.037735849056602</v>
      </c>
      <c r="N227">
        <v>4.8113207547169807</v>
      </c>
      <c r="O227">
        <v>1.38</v>
      </c>
      <c r="P227" t="s">
        <v>78</v>
      </c>
      <c r="Q227" t="s">
        <v>79</v>
      </c>
    </row>
    <row r="228" spans="1:17" x14ac:dyDescent="0.3">
      <c r="A228">
        <f t="shared" si="3"/>
        <v>227</v>
      </c>
      <c r="B228">
        <v>53.833710000000004</v>
      </c>
      <c r="C228">
        <v>5.9211150000000004</v>
      </c>
      <c r="D228">
        <v>38.857934999999998</v>
      </c>
      <c r="E228">
        <v>5.28</v>
      </c>
      <c r="F228">
        <v>1.1499999999999999</v>
      </c>
      <c r="G228">
        <v>0.15</v>
      </c>
      <c r="H228">
        <v>850</v>
      </c>
      <c r="I228">
        <v>1</v>
      </c>
      <c r="J228">
        <v>1.2272727269999999</v>
      </c>
      <c r="K228">
        <v>42.169811320754718</v>
      </c>
      <c r="L228">
        <v>24.90566037735849</v>
      </c>
      <c r="M228">
        <v>26.037735849056602</v>
      </c>
      <c r="N228">
        <v>5.2358490566037732</v>
      </c>
      <c r="O228">
        <v>1.49</v>
      </c>
      <c r="P228" t="s">
        <v>78</v>
      </c>
      <c r="Q228" t="s">
        <v>79</v>
      </c>
    </row>
    <row r="229" spans="1:17" x14ac:dyDescent="0.3">
      <c r="A229">
        <f t="shared" si="3"/>
        <v>228</v>
      </c>
      <c r="B229">
        <v>53.833710000000004</v>
      </c>
      <c r="C229">
        <v>5.9211150000000004</v>
      </c>
      <c r="D229">
        <v>38.857934999999998</v>
      </c>
      <c r="E229">
        <v>5.28</v>
      </c>
      <c r="F229">
        <v>1.1499999999999999</v>
      </c>
      <c r="G229">
        <v>0.18</v>
      </c>
      <c r="H229">
        <v>850</v>
      </c>
      <c r="I229">
        <v>1</v>
      </c>
      <c r="J229">
        <v>1.2272727269999999</v>
      </c>
      <c r="K229">
        <v>39.764150943396224</v>
      </c>
      <c r="L229">
        <v>24.90566037735849</v>
      </c>
      <c r="M229">
        <v>28.443396226415093</v>
      </c>
      <c r="N229">
        <v>5.2358490566037732</v>
      </c>
      <c r="O229">
        <v>1.42</v>
      </c>
      <c r="P229" t="s">
        <v>78</v>
      </c>
      <c r="Q229" t="s">
        <v>79</v>
      </c>
    </row>
    <row r="230" spans="1:17" x14ac:dyDescent="0.3">
      <c r="A230">
        <f t="shared" si="3"/>
        <v>229</v>
      </c>
      <c r="B230">
        <v>53.833710000000004</v>
      </c>
      <c r="C230">
        <v>5.9211150000000004</v>
      </c>
      <c r="D230">
        <v>38.857934999999998</v>
      </c>
      <c r="E230">
        <v>5.28</v>
      </c>
      <c r="F230">
        <v>1.1499999999999999</v>
      </c>
      <c r="G230">
        <v>0.22</v>
      </c>
      <c r="H230">
        <v>850</v>
      </c>
      <c r="I230">
        <v>1</v>
      </c>
      <c r="J230">
        <v>1.2272727269999999</v>
      </c>
      <c r="K230">
        <v>40.754716981132077</v>
      </c>
      <c r="L230">
        <v>25.471698113207548</v>
      </c>
      <c r="M230">
        <v>27.59433962264151</v>
      </c>
      <c r="N230">
        <v>4.6698113207547172</v>
      </c>
      <c r="O230">
        <v>1.57</v>
      </c>
      <c r="P230" t="s">
        <v>78</v>
      </c>
      <c r="Q230" t="s">
        <v>79</v>
      </c>
    </row>
    <row r="231" spans="1:17" x14ac:dyDescent="0.3">
      <c r="A231">
        <f t="shared" si="3"/>
        <v>230</v>
      </c>
      <c r="B231">
        <v>53.833710000000004</v>
      </c>
      <c r="C231">
        <v>5.9211150000000004</v>
      </c>
      <c r="D231">
        <v>38.857934999999998</v>
      </c>
      <c r="E231">
        <v>5.28</v>
      </c>
      <c r="F231">
        <v>1.1499999999999999</v>
      </c>
      <c r="G231">
        <v>7.0000000000000007E-2</v>
      </c>
      <c r="H231">
        <v>800</v>
      </c>
      <c r="I231">
        <v>1</v>
      </c>
      <c r="J231">
        <v>1.2272727269999999</v>
      </c>
      <c r="K231">
        <v>40.570175438596486</v>
      </c>
      <c r="L231">
        <v>24.342105263157894</v>
      </c>
      <c r="M231">
        <v>27.083333333333332</v>
      </c>
      <c r="N231">
        <v>6.0307017543859649</v>
      </c>
      <c r="O231">
        <v>1.05</v>
      </c>
      <c r="P231" t="s">
        <v>78</v>
      </c>
      <c r="Q231" t="s">
        <v>79</v>
      </c>
    </row>
    <row r="232" spans="1:17" x14ac:dyDescent="0.3">
      <c r="A232">
        <f t="shared" si="3"/>
        <v>231</v>
      </c>
      <c r="B232">
        <v>53.833710000000004</v>
      </c>
      <c r="C232">
        <v>5.9211150000000004</v>
      </c>
      <c r="D232">
        <v>38.857934999999998</v>
      </c>
      <c r="E232">
        <v>5.28</v>
      </c>
      <c r="F232">
        <v>1.1499999999999999</v>
      </c>
      <c r="G232">
        <v>7.0000000000000007E-2</v>
      </c>
      <c r="H232">
        <v>950</v>
      </c>
      <c r="I232">
        <v>1</v>
      </c>
      <c r="J232">
        <v>1.2272727269999999</v>
      </c>
      <c r="K232">
        <v>46.600877192982452</v>
      </c>
      <c r="L232">
        <v>23.903508771929822</v>
      </c>
      <c r="M232">
        <v>23.684210526315788</v>
      </c>
      <c r="N232">
        <v>4.6052631578947363</v>
      </c>
      <c r="O232">
        <v>1.55</v>
      </c>
      <c r="P232" t="s">
        <v>78</v>
      </c>
      <c r="Q232" t="s">
        <v>79</v>
      </c>
    </row>
    <row r="233" spans="1:17" x14ac:dyDescent="0.3">
      <c r="A233">
        <f t="shared" si="3"/>
        <v>232</v>
      </c>
      <c r="B233">
        <v>53.833710000000004</v>
      </c>
      <c r="C233">
        <v>5.9211150000000004</v>
      </c>
      <c r="D233">
        <v>38.857934999999998</v>
      </c>
      <c r="E233">
        <v>5.28</v>
      </c>
      <c r="F233">
        <v>1.1499999999999999</v>
      </c>
      <c r="G233">
        <v>0</v>
      </c>
      <c r="H233">
        <v>800</v>
      </c>
      <c r="I233">
        <v>1</v>
      </c>
      <c r="J233">
        <v>1.2272727269999999</v>
      </c>
      <c r="K233">
        <v>42.903930131004365</v>
      </c>
      <c r="L233">
        <v>26.091703056768559</v>
      </c>
      <c r="M233">
        <v>22.270742358078603</v>
      </c>
      <c r="N233">
        <v>6.9868995633187776</v>
      </c>
      <c r="O233">
        <v>1.03</v>
      </c>
      <c r="P233" t="s">
        <v>78</v>
      </c>
      <c r="Q233" t="s">
        <v>79</v>
      </c>
    </row>
    <row r="234" spans="1:17" x14ac:dyDescent="0.3">
      <c r="A234">
        <f t="shared" si="3"/>
        <v>233</v>
      </c>
      <c r="B234">
        <v>53.833710000000004</v>
      </c>
      <c r="C234">
        <v>5.9211150000000004</v>
      </c>
      <c r="D234">
        <v>38.857934999999998</v>
      </c>
      <c r="E234">
        <v>5.28</v>
      </c>
      <c r="F234">
        <v>1.1499999999999999</v>
      </c>
      <c r="G234">
        <v>0</v>
      </c>
      <c r="H234">
        <v>900</v>
      </c>
      <c r="I234">
        <v>1</v>
      </c>
      <c r="J234">
        <v>1.2272727269999999</v>
      </c>
      <c r="K234">
        <v>49.017467248908297</v>
      </c>
      <c r="L234">
        <v>24.563318777292576</v>
      </c>
      <c r="M234">
        <v>20.305676855895197</v>
      </c>
      <c r="N234">
        <v>4.6943231441048034</v>
      </c>
      <c r="O234">
        <v>1.56</v>
      </c>
      <c r="P234" t="s">
        <v>78</v>
      </c>
      <c r="Q234" t="s">
        <v>79</v>
      </c>
    </row>
    <row r="235" spans="1:17" x14ac:dyDescent="0.3">
      <c r="A235">
        <f t="shared" si="3"/>
        <v>234</v>
      </c>
      <c r="B235">
        <v>50.080103168754604</v>
      </c>
      <c r="C235">
        <v>6.6959469417833448</v>
      </c>
      <c r="D235">
        <v>42.507306032213911</v>
      </c>
      <c r="E235">
        <v>5.01</v>
      </c>
      <c r="F235">
        <v>0.35793241393830932</v>
      </c>
      <c r="G235">
        <v>0</v>
      </c>
      <c r="H235">
        <v>900</v>
      </c>
      <c r="I235">
        <v>1</v>
      </c>
      <c r="J235">
        <v>0.5</v>
      </c>
      <c r="K235">
        <v>37.777777777777779</v>
      </c>
      <c r="L235">
        <v>35.925925925925924</v>
      </c>
      <c r="M235">
        <v>9.6296296296296298</v>
      </c>
      <c r="N235">
        <v>10</v>
      </c>
      <c r="P235" t="s">
        <v>80</v>
      </c>
      <c r="Q235" t="s">
        <v>81</v>
      </c>
    </row>
    <row r="236" spans="1:17" x14ac:dyDescent="0.3">
      <c r="A236">
        <f t="shared" si="3"/>
        <v>235</v>
      </c>
      <c r="B236">
        <v>50.080103168754604</v>
      </c>
      <c r="C236">
        <v>6.6959469417833448</v>
      </c>
      <c r="D236">
        <v>42.507306032213911</v>
      </c>
      <c r="E236">
        <v>5.01</v>
      </c>
      <c r="F236">
        <v>0.35793241393830932</v>
      </c>
      <c r="G236">
        <v>0</v>
      </c>
      <c r="H236">
        <v>900</v>
      </c>
      <c r="I236">
        <v>1</v>
      </c>
      <c r="J236">
        <v>0.6</v>
      </c>
      <c r="K236">
        <v>41.851851851851848</v>
      </c>
      <c r="L236">
        <v>30</v>
      </c>
      <c r="M236">
        <v>11.481481481481481</v>
      </c>
      <c r="N236">
        <v>10.37037037037037</v>
      </c>
      <c r="P236" t="s">
        <v>80</v>
      </c>
      <c r="Q236" t="s">
        <v>81</v>
      </c>
    </row>
    <row r="237" spans="1:17" x14ac:dyDescent="0.3">
      <c r="A237">
        <f t="shared" si="3"/>
        <v>236</v>
      </c>
      <c r="B237">
        <v>50.080103168754604</v>
      </c>
      <c r="C237">
        <v>6.6959469417833448</v>
      </c>
      <c r="D237">
        <v>42.507306032213911</v>
      </c>
      <c r="E237">
        <v>5.01</v>
      </c>
      <c r="F237">
        <v>0.35793241393830932</v>
      </c>
      <c r="G237">
        <v>0</v>
      </c>
      <c r="H237">
        <v>900</v>
      </c>
      <c r="I237">
        <v>1</v>
      </c>
      <c r="J237">
        <v>0.7</v>
      </c>
      <c r="K237">
        <v>45.185185185185183</v>
      </c>
      <c r="L237">
        <v>25.432098765432098</v>
      </c>
      <c r="M237">
        <v>13.703703703703702</v>
      </c>
      <c r="N237">
        <v>10.987654320987653</v>
      </c>
      <c r="P237" t="s">
        <v>80</v>
      </c>
      <c r="Q237" t="s">
        <v>81</v>
      </c>
    </row>
    <row r="238" spans="1:17" x14ac:dyDescent="0.3">
      <c r="A238">
        <f t="shared" si="3"/>
        <v>237</v>
      </c>
      <c r="B238">
        <v>50.080103168754604</v>
      </c>
      <c r="C238">
        <v>6.6959469417833448</v>
      </c>
      <c r="D238">
        <v>42.507306032213911</v>
      </c>
      <c r="E238">
        <v>5.01</v>
      </c>
      <c r="F238">
        <v>0.35793241393830932</v>
      </c>
      <c r="G238">
        <v>0</v>
      </c>
      <c r="H238">
        <v>900</v>
      </c>
      <c r="I238">
        <v>1</v>
      </c>
      <c r="J238">
        <v>0.8</v>
      </c>
      <c r="K238">
        <v>47.777777777777779</v>
      </c>
      <c r="L238">
        <v>21.851851851851851</v>
      </c>
      <c r="M238">
        <v>15.185185185185185</v>
      </c>
      <c r="N238">
        <v>11.481481481481481</v>
      </c>
      <c r="P238" t="s">
        <v>80</v>
      </c>
      <c r="Q238" t="s">
        <v>81</v>
      </c>
    </row>
    <row r="239" spans="1:17" x14ac:dyDescent="0.3">
      <c r="A239">
        <f t="shared" si="3"/>
        <v>238</v>
      </c>
      <c r="B239">
        <v>50.080103168754604</v>
      </c>
      <c r="C239">
        <v>6.6959469417833448</v>
      </c>
      <c r="D239">
        <v>42.507306032213911</v>
      </c>
      <c r="E239">
        <v>5.01</v>
      </c>
      <c r="F239">
        <v>0.35793241393830932</v>
      </c>
      <c r="G239">
        <v>0</v>
      </c>
      <c r="H239">
        <v>900</v>
      </c>
      <c r="I239">
        <v>1</v>
      </c>
      <c r="J239">
        <v>0.9</v>
      </c>
      <c r="K239">
        <v>49.876543209876537</v>
      </c>
      <c r="L239">
        <v>19.876543209876541</v>
      </c>
      <c r="M239">
        <v>16.296296296296294</v>
      </c>
      <c r="N239">
        <v>11.851851851851851</v>
      </c>
      <c r="P239" t="s">
        <v>80</v>
      </c>
      <c r="Q239" t="s">
        <v>81</v>
      </c>
    </row>
    <row r="240" spans="1:17" x14ac:dyDescent="0.3">
      <c r="A240">
        <f t="shared" si="3"/>
        <v>239</v>
      </c>
      <c r="B240">
        <v>50.080103168754604</v>
      </c>
      <c r="C240">
        <v>6.6959469417833448</v>
      </c>
      <c r="D240">
        <v>42.507306032213911</v>
      </c>
      <c r="E240">
        <v>5.01</v>
      </c>
      <c r="F240">
        <v>0.35793241393830932</v>
      </c>
      <c r="G240">
        <v>0</v>
      </c>
      <c r="H240">
        <v>900</v>
      </c>
      <c r="I240">
        <v>1</v>
      </c>
      <c r="J240">
        <v>1</v>
      </c>
      <c r="K240">
        <v>51.111111111111107</v>
      </c>
      <c r="L240">
        <v>18.888888888888889</v>
      </c>
      <c r="M240">
        <v>16.790123456790123</v>
      </c>
      <c r="N240">
        <v>12.469135802469134</v>
      </c>
      <c r="P240" t="s">
        <v>80</v>
      </c>
      <c r="Q240" t="s">
        <v>81</v>
      </c>
    </row>
    <row r="241" spans="1:17" x14ac:dyDescent="0.3">
      <c r="A241">
        <f t="shared" si="3"/>
        <v>240</v>
      </c>
      <c r="B241">
        <f>40.6*100/(100-11.89)</f>
        <v>46.078765179888777</v>
      </c>
      <c r="C241">
        <f>5.61*100/(100-11.89)</f>
        <v>6.3670411985018731</v>
      </c>
      <c r="D241">
        <f>39.88*100/(100-11.89)</f>
        <v>45.261604812166617</v>
      </c>
      <c r="E241">
        <v>11.89</v>
      </c>
      <c r="F241">
        <f>1.56*100/(100-11.89)</f>
        <v>1.7705141300646918</v>
      </c>
      <c r="G241">
        <v>0</v>
      </c>
      <c r="H241">
        <v>720</v>
      </c>
      <c r="I241">
        <v>1</v>
      </c>
      <c r="J241">
        <v>1.2</v>
      </c>
      <c r="K241">
        <v>71.570881226053629</v>
      </c>
      <c r="L241">
        <v>9.0421455938697317</v>
      </c>
      <c r="M241">
        <v>7.3563218390804597</v>
      </c>
      <c r="N241">
        <v>11.494252873563218</v>
      </c>
      <c r="O241">
        <v>0.89495798319327724</v>
      </c>
      <c r="P241" t="s">
        <v>82</v>
      </c>
      <c r="Q241" t="s">
        <v>83</v>
      </c>
    </row>
    <row r="242" spans="1:17" x14ac:dyDescent="0.3">
      <c r="A242">
        <f t="shared" si="3"/>
        <v>241</v>
      </c>
      <c r="B242">
        <f t="shared" ref="B242:B251" si="5">40.6*100/(100-11.89)</f>
        <v>46.078765179888777</v>
      </c>
      <c r="C242">
        <f t="shared" ref="C242:C251" si="6">5.61*100/(100-11.89)</f>
        <v>6.3670411985018731</v>
      </c>
      <c r="D242">
        <f t="shared" ref="D242:D251" si="7">39.88*100/(100-11.89)</f>
        <v>45.261604812166617</v>
      </c>
      <c r="E242">
        <v>11.89</v>
      </c>
      <c r="F242">
        <f t="shared" ref="F242:F251" si="8">1.56*100/(100-11.89)</f>
        <v>1.7705141300646918</v>
      </c>
      <c r="G242">
        <v>0</v>
      </c>
      <c r="H242">
        <v>770</v>
      </c>
      <c r="I242">
        <v>1</v>
      </c>
      <c r="J242">
        <v>1.2</v>
      </c>
      <c r="K242">
        <v>63.90804597701149</v>
      </c>
      <c r="L242">
        <v>12.720306513409961</v>
      </c>
      <c r="M242">
        <v>13.639846743295019</v>
      </c>
      <c r="N242">
        <v>8.7356321839080451</v>
      </c>
      <c r="O242">
        <v>1.046218487394958</v>
      </c>
      <c r="P242" t="s">
        <v>82</v>
      </c>
      <c r="Q242" t="s">
        <v>83</v>
      </c>
    </row>
    <row r="243" spans="1:17" x14ac:dyDescent="0.3">
      <c r="A243">
        <f t="shared" si="3"/>
        <v>242</v>
      </c>
      <c r="B243">
        <f t="shared" si="5"/>
        <v>46.078765179888777</v>
      </c>
      <c r="C243">
        <f t="shared" si="6"/>
        <v>6.3670411985018731</v>
      </c>
      <c r="D243">
        <f t="shared" si="7"/>
        <v>45.261604812166617</v>
      </c>
      <c r="E243">
        <v>11.89</v>
      </c>
      <c r="F243">
        <f t="shared" si="8"/>
        <v>1.7705141300646918</v>
      </c>
      <c r="G243">
        <v>0</v>
      </c>
      <c r="H243">
        <v>820</v>
      </c>
      <c r="I243">
        <v>1</v>
      </c>
      <c r="J243">
        <v>1.2</v>
      </c>
      <c r="K243">
        <v>59.923371647509576</v>
      </c>
      <c r="L243">
        <v>15.478927203065133</v>
      </c>
      <c r="M243">
        <v>16.704980842911876</v>
      </c>
      <c r="N243">
        <v>7.8160919540229878</v>
      </c>
      <c r="O243">
        <v>1.3445378151260503</v>
      </c>
      <c r="P243" t="s">
        <v>82</v>
      </c>
      <c r="Q243" t="s">
        <v>83</v>
      </c>
    </row>
    <row r="244" spans="1:17" x14ac:dyDescent="0.3">
      <c r="A244">
        <f t="shared" si="3"/>
        <v>243</v>
      </c>
      <c r="B244">
        <f t="shared" si="5"/>
        <v>46.078765179888777</v>
      </c>
      <c r="C244">
        <f t="shared" si="6"/>
        <v>6.3670411985018731</v>
      </c>
      <c r="D244">
        <f t="shared" si="7"/>
        <v>45.261604812166617</v>
      </c>
      <c r="E244">
        <v>11.89</v>
      </c>
      <c r="F244">
        <f t="shared" si="8"/>
        <v>1.7705141300646918</v>
      </c>
      <c r="G244">
        <v>0</v>
      </c>
      <c r="H244">
        <v>870</v>
      </c>
      <c r="I244">
        <v>1</v>
      </c>
      <c r="J244">
        <v>1.2</v>
      </c>
      <c r="K244">
        <v>56.398467432950184</v>
      </c>
      <c r="L244">
        <v>20.383141762452105</v>
      </c>
      <c r="M244">
        <v>14.865900383141762</v>
      </c>
      <c r="N244">
        <v>8.275862068965516</v>
      </c>
      <c r="O244">
        <v>1.5420168067226889</v>
      </c>
      <c r="P244" t="s">
        <v>82</v>
      </c>
      <c r="Q244" t="s">
        <v>83</v>
      </c>
    </row>
    <row r="245" spans="1:17" x14ac:dyDescent="0.3">
      <c r="A245">
        <f t="shared" si="3"/>
        <v>244</v>
      </c>
      <c r="B245">
        <f t="shared" si="5"/>
        <v>46.078765179888777</v>
      </c>
      <c r="C245">
        <f t="shared" si="6"/>
        <v>6.3670411985018731</v>
      </c>
      <c r="D245">
        <f t="shared" si="7"/>
        <v>45.261604812166617</v>
      </c>
      <c r="E245">
        <v>11.89</v>
      </c>
      <c r="F245">
        <f t="shared" si="8"/>
        <v>1.7705141300646918</v>
      </c>
      <c r="G245">
        <v>0</v>
      </c>
      <c r="H245">
        <v>920</v>
      </c>
      <c r="I245">
        <v>1</v>
      </c>
      <c r="J245">
        <v>1.2</v>
      </c>
      <c r="K245">
        <v>52.567049808429118</v>
      </c>
      <c r="L245">
        <v>24.674329501915707</v>
      </c>
      <c r="M245">
        <v>13.793103448275861</v>
      </c>
      <c r="N245">
        <v>8.1226053639846736</v>
      </c>
      <c r="O245">
        <v>1.7142857142857142</v>
      </c>
      <c r="P245" t="s">
        <v>82</v>
      </c>
      <c r="Q245" t="s">
        <v>83</v>
      </c>
    </row>
    <row r="246" spans="1:17" x14ac:dyDescent="0.3">
      <c r="A246">
        <f t="shared" si="3"/>
        <v>245</v>
      </c>
      <c r="B246">
        <f t="shared" si="5"/>
        <v>46.078765179888777</v>
      </c>
      <c r="C246">
        <f t="shared" si="6"/>
        <v>6.3670411985018731</v>
      </c>
      <c r="D246">
        <f t="shared" si="7"/>
        <v>45.261604812166617</v>
      </c>
      <c r="E246">
        <v>11.89</v>
      </c>
      <c r="F246">
        <f t="shared" si="8"/>
        <v>1.7705141300646918</v>
      </c>
      <c r="G246">
        <v>0</v>
      </c>
      <c r="H246">
        <v>820</v>
      </c>
      <c r="I246">
        <v>1</v>
      </c>
      <c r="J246">
        <v>0.8</v>
      </c>
      <c r="K246">
        <v>55.802469135802468</v>
      </c>
      <c r="L246">
        <v>20.08230452674897</v>
      </c>
      <c r="M246">
        <v>14.650205761316872</v>
      </c>
      <c r="N246">
        <v>9.0534979423868318</v>
      </c>
      <c r="P246" t="s">
        <v>82</v>
      </c>
      <c r="Q246" t="s">
        <v>83</v>
      </c>
    </row>
    <row r="247" spans="1:17" x14ac:dyDescent="0.3">
      <c r="A247">
        <f t="shared" si="3"/>
        <v>246</v>
      </c>
      <c r="B247">
        <f t="shared" si="5"/>
        <v>46.078765179888777</v>
      </c>
      <c r="C247">
        <f t="shared" si="6"/>
        <v>6.3670411985018731</v>
      </c>
      <c r="D247">
        <f t="shared" si="7"/>
        <v>45.261604812166617</v>
      </c>
      <c r="E247">
        <v>11.89</v>
      </c>
      <c r="F247">
        <f t="shared" si="8"/>
        <v>1.7705141300646918</v>
      </c>
      <c r="G247">
        <v>0</v>
      </c>
      <c r="H247">
        <v>820</v>
      </c>
      <c r="I247">
        <v>1</v>
      </c>
      <c r="J247">
        <v>1</v>
      </c>
      <c r="K247">
        <v>57.283950617283949</v>
      </c>
      <c r="L247">
        <v>17.777777777777779</v>
      </c>
      <c r="M247">
        <v>16.790123456790123</v>
      </c>
      <c r="N247">
        <v>8.3950617283950617</v>
      </c>
      <c r="P247" t="s">
        <v>82</v>
      </c>
      <c r="Q247" t="s">
        <v>83</v>
      </c>
    </row>
    <row r="248" spans="1:17" x14ac:dyDescent="0.3">
      <c r="A248">
        <f t="shared" si="3"/>
        <v>247</v>
      </c>
      <c r="B248">
        <f t="shared" si="5"/>
        <v>46.078765179888777</v>
      </c>
      <c r="C248">
        <f t="shared" si="6"/>
        <v>6.3670411985018731</v>
      </c>
      <c r="D248">
        <f t="shared" si="7"/>
        <v>45.261604812166617</v>
      </c>
      <c r="E248">
        <v>11.89</v>
      </c>
      <c r="F248">
        <f t="shared" si="8"/>
        <v>1.7705141300646918</v>
      </c>
      <c r="G248">
        <v>0</v>
      </c>
      <c r="H248">
        <v>820</v>
      </c>
      <c r="I248">
        <v>1</v>
      </c>
      <c r="J248">
        <v>1.2</v>
      </c>
      <c r="K248">
        <v>60.08230452674897</v>
      </c>
      <c r="L248">
        <v>15.637860082304528</v>
      </c>
      <c r="M248">
        <v>16.790123456790123</v>
      </c>
      <c r="N248">
        <v>8.2304526748971192</v>
      </c>
      <c r="P248" t="s">
        <v>82</v>
      </c>
      <c r="Q248" t="s">
        <v>83</v>
      </c>
    </row>
    <row r="249" spans="1:17" x14ac:dyDescent="0.3">
      <c r="A249">
        <f t="shared" si="3"/>
        <v>248</v>
      </c>
      <c r="B249">
        <f t="shared" si="5"/>
        <v>46.078765179888777</v>
      </c>
      <c r="C249">
        <f t="shared" si="6"/>
        <v>6.3670411985018731</v>
      </c>
      <c r="D249">
        <f t="shared" si="7"/>
        <v>45.261604812166617</v>
      </c>
      <c r="E249">
        <v>11.89</v>
      </c>
      <c r="F249">
        <f t="shared" si="8"/>
        <v>1.7705141300646918</v>
      </c>
      <c r="G249">
        <v>0</v>
      </c>
      <c r="H249">
        <v>820</v>
      </c>
      <c r="I249">
        <v>1</v>
      </c>
      <c r="J249">
        <v>1.4</v>
      </c>
      <c r="K249">
        <v>60.246913580246911</v>
      </c>
      <c r="L249">
        <v>15.802469135802468</v>
      </c>
      <c r="M249">
        <v>16.790123456790123</v>
      </c>
      <c r="N249">
        <v>8.2304526748971192</v>
      </c>
      <c r="P249" t="s">
        <v>82</v>
      </c>
      <c r="Q249" t="s">
        <v>83</v>
      </c>
    </row>
    <row r="250" spans="1:17" x14ac:dyDescent="0.3">
      <c r="A250">
        <f t="shared" si="3"/>
        <v>249</v>
      </c>
      <c r="B250">
        <f t="shared" si="5"/>
        <v>46.078765179888777</v>
      </c>
      <c r="C250">
        <f t="shared" si="6"/>
        <v>6.3670411985018731</v>
      </c>
      <c r="D250">
        <f t="shared" si="7"/>
        <v>45.261604812166617</v>
      </c>
      <c r="E250">
        <v>11.89</v>
      </c>
      <c r="F250">
        <f t="shared" si="8"/>
        <v>1.7705141300646918</v>
      </c>
      <c r="G250">
        <v>0</v>
      </c>
      <c r="H250">
        <v>820</v>
      </c>
      <c r="I250">
        <v>1</v>
      </c>
      <c r="J250">
        <v>1.7</v>
      </c>
      <c r="K250">
        <v>59.25925925925926</v>
      </c>
      <c r="L250">
        <v>14.650205761316872</v>
      </c>
      <c r="M250">
        <v>16.954732510288064</v>
      </c>
      <c r="N250">
        <v>8.0658436213991767</v>
      </c>
      <c r="P250" t="s">
        <v>82</v>
      </c>
      <c r="Q250" t="s">
        <v>83</v>
      </c>
    </row>
    <row r="251" spans="1:17" x14ac:dyDescent="0.3">
      <c r="A251">
        <f t="shared" si="3"/>
        <v>250</v>
      </c>
      <c r="B251">
        <f t="shared" si="5"/>
        <v>46.078765179888777</v>
      </c>
      <c r="C251">
        <f t="shared" si="6"/>
        <v>6.3670411985018731</v>
      </c>
      <c r="D251">
        <f t="shared" si="7"/>
        <v>45.261604812166617</v>
      </c>
      <c r="E251">
        <v>11.89</v>
      </c>
      <c r="F251">
        <f t="shared" si="8"/>
        <v>1.7705141300646918</v>
      </c>
      <c r="G251">
        <v>0</v>
      </c>
      <c r="H251">
        <v>820</v>
      </c>
      <c r="I251">
        <v>1</v>
      </c>
      <c r="J251">
        <v>2</v>
      </c>
      <c r="K251">
        <v>59.25925925925926</v>
      </c>
      <c r="L251">
        <v>13.991769547325102</v>
      </c>
      <c r="M251">
        <v>16.954732510288064</v>
      </c>
      <c r="N251">
        <v>8.3950617283950617</v>
      </c>
      <c r="P251" t="s">
        <v>82</v>
      </c>
      <c r="Q251" t="s">
        <v>83</v>
      </c>
    </row>
    <row r="252" spans="1:17" x14ac:dyDescent="0.3">
      <c r="A252">
        <f t="shared" si="3"/>
        <v>251</v>
      </c>
      <c r="B252">
        <v>52.397671892611946</v>
      </c>
      <c r="C252">
        <v>5.8272794343682754</v>
      </c>
      <c r="D252">
        <v>36.762574034224819</v>
      </c>
      <c r="E252">
        <v>2.41</v>
      </c>
      <c r="F252">
        <v>4.3139665949380062</v>
      </c>
      <c r="G252">
        <v>0.18</v>
      </c>
      <c r="H252">
        <v>800</v>
      </c>
      <c r="I252">
        <v>3</v>
      </c>
      <c r="J252">
        <v>0</v>
      </c>
      <c r="K252">
        <v>21.020042365976803</v>
      </c>
      <c r="L252">
        <v>35.440769105426178</v>
      </c>
      <c r="M252">
        <v>28.474824832980335</v>
      </c>
      <c r="N252">
        <v>9.6545543425126255</v>
      </c>
      <c r="P252" t="s">
        <v>84</v>
      </c>
      <c r="Q252" t="s">
        <v>85</v>
      </c>
    </row>
    <row r="253" spans="1:17" x14ac:dyDescent="0.3">
      <c r="A253">
        <f t="shared" si="3"/>
        <v>252</v>
      </c>
      <c r="B253">
        <v>52.397671892611946</v>
      </c>
      <c r="C253">
        <v>5.8272794343682754</v>
      </c>
      <c r="D253">
        <v>36.762574034224819</v>
      </c>
      <c r="E253">
        <v>2.41</v>
      </c>
      <c r="F253">
        <v>4.3139665949380062</v>
      </c>
      <c r="G253">
        <v>0.21</v>
      </c>
      <c r="H253">
        <v>800</v>
      </c>
      <c r="I253">
        <v>3</v>
      </c>
      <c r="J253">
        <v>0</v>
      </c>
      <c r="K253">
        <v>18.635902636916832</v>
      </c>
      <c r="L253">
        <v>35.496957403651081</v>
      </c>
      <c r="M253">
        <v>30.679513184584266</v>
      </c>
      <c r="N253">
        <v>9.3813387423935115</v>
      </c>
      <c r="P253" t="s">
        <v>84</v>
      </c>
      <c r="Q253" t="s">
        <v>85</v>
      </c>
    </row>
    <row r="254" spans="1:17" x14ac:dyDescent="0.3">
      <c r="A254">
        <f t="shared" si="3"/>
        <v>253</v>
      </c>
      <c r="B254">
        <v>52.397671892611946</v>
      </c>
      <c r="C254">
        <v>5.8272794343682754</v>
      </c>
      <c r="D254">
        <v>36.762574034224819</v>
      </c>
      <c r="E254">
        <v>2.41</v>
      </c>
      <c r="F254">
        <v>4.3139665949380062</v>
      </c>
      <c r="G254">
        <v>0.23</v>
      </c>
      <c r="H254">
        <v>800</v>
      </c>
      <c r="I254">
        <v>3</v>
      </c>
      <c r="J254">
        <v>0</v>
      </c>
      <c r="K254">
        <v>16.578370478626233</v>
      </c>
      <c r="L254">
        <v>34.252831567409629</v>
      </c>
      <c r="M254">
        <v>34.252831567409629</v>
      </c>
      <c r="N254">
        <v>8.7687248812568459</v>
      </c>
      <c r="P254" t="s">
        <v>84</v>
      </c>
      <c r="Q254" t="s">
        <v>85</v>
      </c>
    </row>
    <row r="255" spans="1:17" x14ac:dyDescent="0.3">
      <c r="A255">
        <f t="shared" si="3"/>
        <v>254</v>
      </c>
      <c r="B255">
        <v>52.397671892611946</v>
      </c>
      <c r="C255">
        <v>5.8272794343682754</v>
      </c>
      <c r="D255">
        <v>36.762574034224819</v>
      </c>
      <c r="E255">
        <v>2.41</v>
      </c>
      <c r="F255">
        <v>4.3139665949380062</v>
      </c>
      <c r="G255">
        <v>0.26</v>
      </c>
      <c r="H255">
        <v>800</v>
      </c>
      <c r="I255">
        <v>3</v>
      </c>
      <c r="J255">
        <v>0</v>
      </c>
      <c r="K255">
        <v>14.983351831298561</v>
      </c>
      <c r="L255">
        <v>34.406215316315098</v>
      </c>
      <c r="M255">
        <v>35.516093229744811</v>
      </c>
      <c r="N255">
        <v>9.433962264150944</v>
      </c>
      <c r="P255" t="s">
        <v>84</v>
      </c>
      <c r="Q255" t="s">
        <v>85</v>
      </c>
    </row>
    <row r="256" spans="1:17" x14ac:dyDescent="0.3">
      <c r="A256">
        <f t="shared" si="3"/>
        <v>255</v>
      </c>
      <c r="B256">
        <v>52.397671892611946</v>
      </c>
      <c r="C256">
        <v>5.8272794343682754</v>
      </c>
      <c r="D256">
        <v>36.762574034224819</v>
      </c>
      <c r="E256">
        <v>2.41</v>
      </c>
      <c r="F256">
        <v>4.3139665949380062</v>
      </c>
      <c r="G256">
        <v>0.21</v>
      </c>
      <c r="H256">
        <v>660</v>
      </c>
      <c r="I256">
        <v>3</v>
      </c>
      <c r="J256">
        <v>0</v>
      </c>
      <c r="K256">
        <v>13.258104582085675</v>
      </c>
      <c r="L256">
        <v>30.415651688314252</v>
      </c>
      <c r="M256">
        <v>40.814165086028339</v>
      </c>
      <c r="N256">
        <v>9.6186248928856841</v>
      </c>
      <c r="P256" t="s">
        <v>84</v>
      </c>
      <c r="Q256" t="s">
        <v>85</v>
      </c>
    </row>
    <row r="257" spans="1:17" x14ac:dyDescent="0.3">
      <c r="A257">
        <f t="shared" si="3"/>
        <v>256</v>
      </c>
      <c r="B257">
        <v>52.397671892611946</v>
      </c>
      <c r="C257">
        <v>5.8272794343682754</v>
      </c>
      <c r="D257">
        <v>36.762574034224819</v>
      </c>
      <c r="E257">
        <v>2.41</v>
      </c>
      <c r="F257">
        <v>4.3139665949380062</v>
      </c>
      <c r="G257">
        <v>0.21</v>
      </c>
      <c r="H257">
        <v>700</v>
      </c>
      <c r="I257">
        <v>3</v>
      </c>
      <c r="J257">
        <v>0</v>
      </c>
      <c r="K257">
        <v>14.996121692665684</v>
      </c>
      <c r="L257">
        <v>30.38007411876244</v>
      </c>
      <c r="M257">
        <v>39.041627165388299</v>
      </c>
      <c r="N257">
        <v>8.9201068689132192</v>
      </c>
      <c r="P257" t="s">
        <v>84</v>
      </c>
      <c r="Q257" t="s">
        <v>85</v>
      </c>
    </row>
    <row r="258" spans="1:17" x14ac:dyDescent="0.3">
      <c r="A258">
        <f t="shared" si="3"/>
        <v>257</v>
      </c>
      <c r="B258">
        <v>52.397671892611946</v>
      </c>
      <c r="C258">
        <v>5.8272794343682754</v>
      </c>
      <c r="D258">
        <v>36.762574034224819</v>
      </c>
      <c r="E258">
        <v>2.41</v>
      </c>
      <c r="F258">
        <v>4.3139665949380062</v>
      </c>
      <c r="G258">
        <v>0.21</v>
      </c>
      <c r="H258">
        <v>750</v>
      </c>
      <c r="I258">
        <v>3</v>
      </c>
      <c r="J258">
        <v>0</v>
      </c>
      <c r="K258">
        <v>15.536913656839214</v>
      </c>
      <c r="L258">
        <v>33.622852210503666</v>
      </c>
      <c r="M258">
        <v>34.351145038167942</v>
      </c>
      <c r="N258">
        <v>9.5891888975804438</v>
      </c>
      <c r="P258" t="s">
        <v>84</v>
      </c>
      <c r="Q258" t="s">
        <v>85</v>
      </c>
    </row>
    <row r="259" spans="1:17" x14ac:dyDescent="0.3">
      <c r="A259">
        <f t="shared" si="3"/>
        <v>258</v>
      </c>
      <c r="B259">
        <v>52.397671892611946</v>
      </c>
      <c r="C259">
        <v>5.8272794343682754</v>
      </c>
      <c r="D259">
        <v>36.762574034224819</v>
      </c>
      <c r="E259">
        <v>2.41</v>
      </c>
      <c r="F259">
        <v>4.3139665949380062</v>
      </c>
      <c r="G259">
        <v>0.21</v>
      </c>
      <c r="H259">
        <v>800</v>
      </c>
      <c r="I259">
        <v>3</v>
      </c>
      <c r="J259">
        <v>0</v>
      </c>
      <c r="K259">
        <v>18.557561753122446</v>
      </c>
      <c r="L259">
        <v>35.179672280459073</v>
      </c>
      <c r="M259">
        <v>30.170269107837061</v>
      </c>
      <c r="N259">
        <v>9.1080057684036593</v>
      </c>
      <c r="P259" t="s">
        <v>84</v>
      </c>
      <c r="Q259" t="s">
        <v>85</v>
      </c>
    </row>
    <row r="260" spans="1:17" x14ac:dyDescent="0.3">
      <c r="A260">
        <f t="shared" ref="A260:A281" si="9">A259+1</f>
        <v>259</v>
      </c>
      <c r="B260">
        <v>52.397671892611946</v>
      </c>
      <c r="C260">
        <v>5.8272794343682754</v>
      </c>
      <c r="D260">
        <v>36.762574034224819</v>
      </c>
      <c r="E260">
        <v>2.41</v>
      </c>
      <c r="F260">
        <v>4.3139665949380062</v>
      </c>
      <c r="G260">
        <v>0.21</v>
      </c>
      <c r="H260">
        <v>850</v>
      </c>
      <c r="I260">
        <v>3</v>
      </c>
      <c r="J260">
        <v>0</v>
      </c>
      <c r="K260">
        <v>21.593125453937112</v>
      </c>
      <c r="L260">
        <v>36.796448477627457</v>
      </c>
      <c r="M260">
        <v>26.550730787749192</v>
      </c>
      <c r="N260">
        <v>8.5931825786076299</v>
      </c>
      <c r="P260" t="s">
        <v>84</v>
      </c>
      <c r="Q260" t="s">
        <v>92</v>
      </c>
    </row>
    <row r="261" spans="1:17" x14ac:dyDescent="0.3">
      <c r="A261">
        <f t="shared" si="9"/>
        <v>260</v>
      </c>
      <c r="B261">
        <v>47.5</v>
      </c>
      <c r="C261">
        <v>6.2</v>
      </c>
      <c r="D261">
        <v>46.21</v>
      </c>
      <c r="E261">
        <v>4.5999999999999996</v>
      </c>
      <c r="F261">
        <v>0.3</v>
      </c>
      <c r="G261">
        <v>0.22</v>
      </c>
      <c r="H261">
        <v>816</v>
      </c>
      <c r="I261">
        <v>1</v>
      </c>
      <c r="J261">
        <v>0</v>
      </c>
      <c r="K261">
        <v>30.02</v>
      </c>
      <c r="L261">
        <v>28.57</v>
      </c>
      <c r="M261">
        <v>33.130000000000003</v>
      </c>
      <c r="N261">
        <v>8.2799999999999994</v>
      </c>
      <c r="P261" s="8" t="s">
        <v>87</v>
      </c>
      <c r="Q261" t="s">
        <v>93</v>
      </c>
    </row>
    <row r="262" spans="1:17" x14ac:dyDescent="0.3">
      <c r="A262">
        <f t="shared" si="9"/>
        <v>261</v>
      </c>
      <c r="B262">
        <v>47.5</v>
      </c>
      <c r="C262">
        <v>6.2</v>
      </c>
      <c r="D262">
        <v>46.21</v>
      </c>
      <c r="E262">
        <v>4.5999999999999996</v>
      </c>
      <c r="F262">
        <v>0.3</v>
      </c>
      <c r="G262">
        <v>0.24</v>
      </c>
      <c r="H262">
        <v>802</v>
      </c>
      <c r="I262">
        <v>1</v>
      </c>
      <c r="J262">
        <v>0</v>
      </c>
      <c r="K262">
        <v>27.96</v>
      </c>
      <c r="L262">
        <v>26.73</v>
      </c>
      <c r="M262">
        <v>35.049999999999997</v>
      </c>
      <c r="N262">
        <v>7.65</v>
      </c>
      <c r="P262" s="8" t="s">
        <v>87</v>
      </c>
      <c r="Q262" t="s">
        <v>94</v>
      </c>
    </row>
    <row r="263" spans="1:17" x14ac:dyDescent="0.3">
      <c r="A263">
        <f t="shared" si="9"/>
        <v>262</v>
      </c>
      <c r="B263">
        <v>47.5</v>
      </c>
      <c r="C263">
        <v>6.2</v>
      </c>
      <c r="D263">
        <v>46.21</v>
      </c>
      <c r="E263">
        <v>4.5999999999999996</v>
      </c>
      <c r="F263">
        <v>0.3</v>
      </c>
      <c r="G263">
        <v>0.25</v>
      </c>
      <c r="H263">
        <v>854</v>
      </c>
      <c r="I263">
        <v>1</v>
      </c>
      <c r="J263">
        <v>0</v>
      </c>
      <c r="K263">
        <v>31.46</v>
      </c>
      <c r="L263">
        <v>28.99</v>
      </c>
      <c r="M263">
        <v>32.700000000000003</v>
      </c>
      <c r="N263">
        <v>7.15</v>
      </c>
      <c r="P263" s="8" t="s">
        <v>87</v>
      </c>
      <c r="Q263" t="s">
        <v>95</v>
      </c>
    </row>
    <row r="264" spans="1:17" x14ac:dyDescent="0.3">
      <c r="A264">
        <f t="shared" si="9"/>
        <v>263</v>
      </c>
      <c r="B264">
        <v>47.5</v>
      </c>
      <c r="C264">
        <v>6.2</v>
      </c>
      <c r="D264">
        <v>46.21</v>
      </c>
      <c r="E264">
        <v>4.5999999999999996</v>
      </c>
      <c r="F264">
        <v>0.3</v>
      </c>
      <c r="G264">
        <v>0.3</v>
      </c>
      <c r="H264">
        <v>833</v>
      </c>
      <c r="I264">
        <v>1</v>
      </c>
      <c r="J264">
        <v>0</v>
      </c>
      <c r="K264">
        <v>24.51</v>
      </c>
      <c r="L264">
        <v>23.53</v>
      </c>
      <c r="M264">
        <v>39.22</v>
      </c>
      <c r="N264">
        <v>6.27</v>
      </c>
      <c r="P264" s="8" t="s">
        <v>87</v>
      </c>
      <c r="Q264" t="s">
        <v>96</v>
      </c>
    </row>
    <row r="265" spans="1:17" x14ac:dyDescent="0.3">
      <c r="A265">
        <f t="shared" si="9"/>
        <v>264</v>
      </c>
      <c r="B265">
        <v>45.85</v>
      </c>
      <c r="C265">
        <v>6.13</v>
      </c>
      <c r="D265">
        <v>47.67</v>
      </c>
      <c r="E265">
        <v>14.6</v>
      </c>
      <c r="F265">
        <v>2.87</v>
      </c>
      <c r="G265">
        <v>0.22</v>
      </c>
      <c r="H265">
        <v>804</v>
      </c>
      <c r="I265">
        <v>1</v>
      </c>
      <c r="J265">
        <v>0</v>
      </c>
      <c r="K265">
        <v>27.05</v>
      </c>
      <c r="L265">
        <v>33.68</v>
      </c>
      <c r="M265">
        <v>33.68</v>
      </c>
      <c r="N265">
        <v>6.88</v>
      </c>
      <c r="P265" t="s">
        <v>88</v>
      </c>
      <c r="Q265" t="s">
        <v>97</v>
      </c>
    </row>
    <row r="266" spans="1:17" x14ac:dyDescent="0.3">
      <c r="A266">
        <f t="shared" si="9"/>
        <v>265</v>
      </c>
      <c r="B266">
        <v>45.85</v>
      </c>
      <c r="C266">
        <v>6.13</v>
      </c>
      <c r="D266">
        <v>47.67</v>
      </c>
      <c r="E266">
        <v>14.6</v>
      </c>
      <c r="F266">
        <v>2.87</v>
      </c>
      <c r="G266">
        <v>0.24</v>
      </c>
      <c r="H266">
        <v>798</v>
      </c>
      <c r="I266">
        <v>1</v>
      </c>
      <c r="J266">
        <v>0</v>
      </c>
      <c r="K266">
        <v>25.65</v>
      </c>
      <c r="L266">
        <v>32.299999999999997</v>
      </c>
      <c r="M266">
        <v>35.130000000000003</v>
      </c>
      <c r="N266">
        <v>6.37</v>
      </c>
      <c r="P266" t="s">
        <v>88</v>
      </c>
      <c r="Q266" t="s">
        <v>98</v>
      </c>
    </row>
    <row r="267" spans="1:17" x14ac:dyDescent="0.3">
      <c r="A267">
        <f t="shared" si="9"/>
        <v>266</v>
      </c>
      <c r="B267">
        <v>45.85</v>
      </c>
      <c r="C267">
        <v>6.13</v>
      </c>
      <c r="D267">
        <v>47.67</v>
      </c>
      <c r="E267">
        <v>14.6</v>
      </c>
      <c r="F267">
        <v>2.87</v>
      </c>
      <c r="G267">
        <v>0.25</v>
      </c>
      <c r="H267">
        <v>812</v>
      </c>
      <c r="I267">
        <v>1</v>
      </c>
      <c r="J267">
        <v>0</v>
      </c>
      <c r="K267">
        <v>29.32</v>
      </c>
      <c r="L267">
        <v>34.39</v>
      </c>
      <c r="M267">
        <v>31.32</v>
      </c>
      <c r="N267">
        <v>5.97</v>
      </c>
      <c r="P267" t="s">
        <v>88</v>
      </c>
      <c r="Q267" t="s">
        <v>99</v>
      </c>
    </row>
    <row r="268" spans="1:17" x14ac:dyDescent="0.3">
      <c r="A268">
        <f t="shared" si="9"/>
        <v>267</v>
      </c>
      <c r="B268">
        <v>45.85</v>
      </c>
      <c r="C268">
        <v>6.13</v>
      </c>
      <c r="D268">
        <v>47.67</v>
      </c>
      <c r="E268">
        <v>14.6</v>
      </c>
      <c r="F268">
        <v>2.87</v>
      </c>
      <c r="G268">
        <v>0.26</v>
      </c>
      <c r="H268">
        <v>810</v>
      </c>
      <c r="I268">
        <v>1</v>
      </c>
      <c r="J268">
        <v>0</v>
      </c>
      <c r="K268">
        <v>23.95</v>
      </c>
      <c r="L268">
        <v>30.24</v>
      </c>
      <c r="M268">
        <v>38.93</v>
      </c>
      <c r="N268">
        <v>5.63</v>
      </c>
      <c r="P268" t="s">
        <v>88</v>
      </c>
      <c r="Q268" t="s">
        <v>100</v>
      </c>
    </row>
    <row r="269" spans="1:17" x14ac:dyDescent="0.3">
      <c r="A269">
        <f t="shared" si="9"/>
        <v>268</v>
      </c>
      <c r="B269">
        <v>45.85</v>
      </c>
      <c r="C269">
        <v>6.13</v>
      </c>
      <c r="D269">
        <v>47.67</v>
      </c>
      <c r="E269">
        <v>14.6</v>
      </c>
      <c r="F269">
        <v>2.87</v>
      </c>
      <c r="G269">
        <v>0.28000000000000003</v>
      </c>
      <c r="H269">
        <v>818</v>
      </c>
      <c r="I269">
        <v>1</v>
      </c>
      <c r="J269">
        <v>0</v>
      </c>
      <c r="K269">
        <v>21.63</v>
      </c>
      <c r="L269">
        <v>27.89</v>
      </c>
      <c r="M269">
        <v>43.75</v>
      </c>
      <c r="N269">
        <v>5.14</v>
      </c>
      <c r="P269" t="s">
        <v>88</v>
      </c>
      <c r="Q269" t="s">
        <v>101</v>
      </c>
    </row>
    <row r="270" spans="1:17" x14ac:dyDescent="0.3">
      <c r="A270">
        <f t="shared" si="9"/>
        <v>269</v>
      </c>
      <c r="B270">
        <v>49.07</v>
      </c>
      <c r="C270">
        <v>6.45</v>
      </c>
      <c r="D270">
        <v>44.41</v>
      </c>
      <c r="E270">
        <v>19</v>
      </c>
      <c r="F270">
        <v>1.19</v>
      </c>
      <c r="G270">
        <v>0.17</v>
      </c>
      <c r="H270">
        <v>736</v>
      </c>
      <c r="I270">
        <v>1</v>
      </c>
      <c r="J270">
        <v>0</v>
      </c>
      <c r="K270">
        <v>33.49</v>
      </c>
      <c r="L270">
        <v>43.45</v>
      </c>
      <c r="M270">
        <v>19.64</v>
      </c>
      <c r="N270">
        <v>8.6300000000000008</v>
      </c>
      <c r="P270" t="s">
        <v>89</v>
      </c>
      <c r="Q270" t="s">
        <v>102</v>
      </c>
    </row>
    <row r="271" spans="1:17" x14ac:dyDescent="0.3">
      <c r="A271">
        <f t="shared" si="9"/>
        <v>270</v>
      </c>
      <c r="B271">
        <v>49.07</v>
      </c>
      <c r="C271">
        <v>6.45</v>
      </c>
      <c r="D271">
        <v>44.41</v>
      </c>
      <c r="E271">
        <v>19</v>
      </c>
      <c r="F271">
        <v>1.19</v>
      </c>
      <c r="G271">
        <v>0.18</v>
      </c>
      <c r="H271">
        <v>709</v>
      </c>
      <c r="I271">
        <v>1</v>
      </c>
      <c r="J271">
        <v>0</v>
      </c>
      <c r="K271">
        <v>31.98</v>
      </c>
      <c r="L271">
        <v>41.86</v>
      </c>
      <c r="M271">
        <v>21.79</v>
      </c>
      <c r="N271">
        <v>8.27</v>
      </c>
      <c r="P271" t="s">
        <v>89</v>
      </c>
      <c r="Q271" t="s">
        <v>103</v>
      </c>
    </row>
    <row r="272" spans="1:17" x14ac:dyDescent="0.3">
      <c r="A272">
        <f t="shared" si="9"/>
        <v>271</v>
      </c>
      <c r="B272">
        <v>49.07</v>
      </c>
      <c r="C272">
        <v>6.45</v>
      </c>
      <c r="D272">
        <v>44.41</v>
      </c>
      <c r="E272">
        <v>19</v>
      </c>
      <c r="F272">
        <v>1.19</v>
      </c>
      <c r="G272">
        <v>0.2</v>
      </c>
      <c r="H272">
        <v>719</v>
      </c>
      <c r="I272">
        <v>1</v>
      </c>
      <c r="J272">
        <v>0</v>
      </c>
      <c r="K272">
        <v>29.88</v>
      </c>
      <c r="L272">
        <v>39.729999999999997</v>
      </c>
      <c r="M272">
        <v>24.82</v>
      </c>
      <c r="N272">
        <v>7.8</v>
      </c>
      <c r="P272" t="s">
        <v>89</v>
      </c>
      <c r="Q272" t="s">
        <v>104</v>
      </c>
    </row>
    <row r="273" spans="1:17" x14ac:dyDescent="0.3">
      <c r="A273">
        <f t="shared" si="9"/>
        <v>272</v>
      </c>
      <c r="B273">
        <v>49.07</v>
      </c>
      <c r="C273">
        <v>6.45</v>
      </c>
      <c r="D273">
        <v>44.41</v>
      </c>
      <c r="E273">
        <v>19</v>
      </c>
      <c r="F273">
        <v>1.19</v>
      </c>
      <c r="G273">
        <v>0.25</v>
      </c>
      <c r="H273">
        <v>800</v>
      </c>
      <c r="I273">
        <v>1</v>
      </c>
      <c r="J273">
        <v>0</v>
      </c>
      <c r="K273">
        <v>26.5</v>
      </c>
      <c r="L273">
        <v>37.04</v>
      </c>
      <c r="M273">
        <v>30.31</v>
      </c>
      <c r="N273">
        <v>7</v>
      </c>
      <c r="P273" t="s">
        <v>89</v>
      </c>
      <c r="Q273" t="s">
        <v>105</v>
      </c>
    </row>
    <row r="274" spans="1:17" x14ac:dyDescent="0.3">
      <c r="A274">
        <f t="shared" si="9"/>
        <v>273</v>
      </c>
      <c r="B274">
        <v>49.07</v>
      </c>
      <c r="C274">
        <v>6.45</v>
      </c>
      <c r="D274">
        <v>44.41</v>
      </c>
      <c r="E274">
        <v>19</v>
      </c>
      <c r="F274">
        <v>1.19</v>
      </c>
      <c r="G274">
        <v>0.35</v>
      </c>
      <c r="H274">
        <v>813</v>
      </c>
      <c r="I274">
        <v>1</v>
      </c>
      <c r="J274">
        <v>0</v>
      </c>
      <c r="K274">
        <v>23.11</v>
      </c>
      <c r="L274">
        <v>33.909999999999997</v>
      </c>
      <c r="M274">
        <v>36.97</v>
      </c>
      <c r="N274">
        <v>6.22</v>
      </c>
      <c r="P274" t="s">
        <v>89</v>
      </c>
      <c r="Q274" t="s">
        <v>106</v>
      </c>
    </row>
    <row r="275" spans="1:17" x14ac:dyDescent="0.3">
      <c r="A275">
        <f t="shared" si="9"/>
        <v>274</v>
      </c>
      <c r="B275">
        <v>50.8</v>
      </c>
      <c r="C275">
        <v>6.5</v>
      </c>
      <c r="D275">
        <v>42.45</v>
      </c>
      <c r="E275">
        <v>16.8</v>
      </c>
      <c r="F275">
        <v>1.2</v>
      </c>
      <c r="G275">
        <v>0.23</v>
      </c>
      <c r="H275">
        <v>786</v>
      </c>
      <c r="I275">
        <v>1</v>
      </c>
      <c r="J275">
        <v>0</v>
      </c>
      <c r="K275">
        <v>28.13</v>
      </c>
      <c r="L275">
        <v>41.33</v>
      </c>
      <c r="M275">
        <v>24.59</v>
      </c>
      <c r="N275">
        <v>7.35</v>
      </c>
      <c r="P275" t="s">
        <v>90</v>
      </c>
      <c r="Q275" t="s">
        <v>107</v>
      </c>
    </row>
    <row r="276" spans="1:17" x14ac:dyDescent="0.3">
      <c r="A276">
        <f t="shared" si="9"/>
        <v>275</v>
      </c>
      <c r="B276">
        <v>50.8</v>
      </c>
      <c r="C276">
        <v>6.5</v>
      </c>
      <c r="D276">
        <v>42.45</v>
      </c>
      <c r="E276">
        <v>16.8</v>
      </c>
      <c r="F276">
        <v>1.2</v>
      </c>
      <c r="G276">
        <v>0.26</v>
      </c>
      <c r="H276">
        <v>811</v>
      </c>
      <c r="I276">
        <v>1</v>
      </c>
      <c r="J276">
        <v>0</v>
      </c>
      <c r="K276">
        <v>25.32</v>
      </c>
      <c r="L276">
        <v>38.71</v>
      </c>
      <c r="M276">
        <v>28.84</v>
      </c>
      <c r="N276">
        <v>6.76</v>
      </c>
      <c r="P276" t="s">
        <v>90</v>
      </c>
      <c r="Q276" t="s">
        <v>108</v>
      </c>
    </row>
    <row r="277" spans="1:17" x14ac:dyDescent="0.3">
      <c r="A277">
        <f t="shared" si="9"/>
        <v>276</v>
      </c>
      <c r="B277">
        <v>50.8</v>
      </c>
      <c r="C277">
        <v>6.5</v>
      </c>
      <c r="D277">
        <v>42.45</v>
      </c>
      <c r="E277">
        <v>16.8</v>
      </c>
      <c r="F277">
        <v>1.2</v>
      </c>
      <c r="G277">
        <v>0.3</v>
      </c>
      <c r="H277">
        <v>830</v>
      </c>
      <c r="I277">
        <v>1</v>
      </c>
      <c r="J277">
        <v>0</v>
      </c>
      <c r="K277">
        <v>22.95</v>
      </c>
      <c r="L277">
        <v>36.15</v>
      </c>
      <c r="M277">
        <v>33.869999999999997</v>
      </c>
      <c r="N277">
        <v>6.14</v>
      </c>
      <c r="P277" t="s">
        <v>90</v>
      </c>
      <c r="Q277" t="s">
        <v>109</v>
      </c>
    </row>
    <row r="278" spans="1:17" x14ac:dyDescent="0.3">
      <c r="A278">
        <f t="shared" si="9"/>
        <v>277</v>
      </c>
      <c r="B278">
        <v>50.57</v>
      </c>
      <c r="C278">
        <v>7.09</v>
      </c>
      <c r="D278">
        <v>41.36</v>
      </c>
      <c r="E278">
        <v>9.8000000000000007</v>
      </c>
      <c r="F278">
        <v>0.89</v>
      </c>
      <c r="G278">
        <v>0.27</v>
      </c>
      <c r="H278">
        <v>750</v>
      </c>
      <c r="I278">
        <v>1</v>
      </c>
      <c r="J278">
        <v>0</v>
      </c>
      <c r="K278">
        <v>29.87</v>
      </c>
      <c r="L278">
        <v>28.63</v>
      </c>
      <c r="M278">
        <v>33.200000000000003</v>
      </c>
      <c r="N278">
        <v>8.3000000000000007</v>
      </c>
      <c r="P278" t="s">
        <v>91</v>
      </c>
      <c r="Q278" t="s">
        <v>110</v>
      </c>
    </row>
    <row r="279" spans="1:17" x14ac:dyDescent="0.3">
      <c r="A279">
        <f t="shared" si="9"/>
        <v>278</v>
      </c>
      <c r="B279">
        <v>50.57</v>
      </c>
      <c r="C279">
        <v>7.09</v>
      </c>
      <c r="D279">
        <v>41.36</v>
      </c>
      <c r="E279">
        <v>9.8000000000000007</v>
      </c>
      <c r="F279">
        <v>0.89</v>
      </c>
      <c r="G279">
        <v>0.24</v>
      </c>
      <c r="H279">
        <v>770</v>
      </c>
      <c r="I279">
        <v>1</v>
      </c>
      <c r="J279">
        <v>0</v>
      </c>
      <c r="K279">
        <v>31.2</v>
      </c>
      <c r="L279">
        <v>29.07</v>
      </c>
      <c r="M279">
        <v>31.01</v>
      </c>
      <c r="N279">
        <v>8.91</v>
      </c>
      <c r="P279" t="s">
        <v>91</v>
      </c>
      <c r="Q279" t="s">
        <v>111</v>
      </c>
    </row>
    <row r="280" spans="1:17" x14ac:dyDescent="0.3">
      <c r="A280">
        <f t="shared" si="9"/>
        <v>279</v>
      </c>
      <c r="B280">
        <v>50.57</v>
      </c>
      <c r="C280">
        <v>7.09</v>
      </c>
      <c r="D280">
        <v>41.36</v>
      </c>
      <c r="E280">
        <v>9.8000000000000007</v>
      </c>
      <c r="F280">
        <v>0.89</v>
      </c>
      <c r="G280">
        <v>0.19</v>
      </c>
      <c r="H280">
        <v>790</v>
      </c>
      <c r="I280">
        <v>1</v>
      </c>
      <c r="J280">
        <v>0</v>
      </c>
      <c r="K280">
        <v>30.44</v>
      </c>
      <c r="L280">
        <v>29.7</v>
      </c>
      <c r="M280">
        <v>30.26</v>
      </c>
      <c r="N280">
        <v>9.7799999999999994</v>
      </c>
      <c r="P280" t="s">
        <v>91</v>
      </c>
      <c r="Q280" t="s">
        <v>112</v>
      </c>
    </row>
    <row r="281" spans="1:17" x14ac:dyDescent="0.3">
      <c r="A281">
        <f t="shared" si="9"/>
        <v>280</v>
      </c>
      <c r="B281">
        <v>50.57</v>
      </c>
      <c r="C281">
        <v>7.09</v>
      </c>
      <c r="D281">
        <v>41.36</v>
      </c>
      <c r="E281">
        <v>9.8000000000000007</v>
      </c>
      <c r="F281">
        <v>0.89</v>
      </c>
      <c r="G281">
        <v>0.32</v>
      </c>
      <c r="H281">
        <v>760</v>
      </c>
      <c r="I281">
        <v>1</v>
      </c>
      <c r="J281">
        <v>0</v>
      </c>
      <c r="K281">
        <v>31.47</v>
      </c>
      <c r="L281">
        <v>24.43</v>
      </c>
      <c r="M281">
        <v>35.200000000000003</v>
      </c>
      <c r="N281">
        <v>8.9</v>
      </c>
      <c r="P281" t="s">
        <v>91</v>
      </c>
      <c r="Q281" t="s">
        <v>113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D2B0-4EDB-414C-A9E6-62E8FD726631}">
  <dimension ref="A1:Q204"/>
  <sheetViews>
    <sheetView zoomScale="66" workbookViewId="0">
      <selection activeCell="K185" sqref="K185"/>
    </sheetView>
  </sheetViews>
  <sheetFormatPr defaultRowHeight="14" x14ac:dyDescent="0.3"/>
  <cols>
    <col min="7" max="7" width="12.58203125" customWidth="1"/>
    <col min="11" max="11" width="17.6640625" customWidth="1"/>
    <col min="12" max="12" width="16.33203125" customWidth="1"/>
    <col min="13" max="13" width="15.6640625" customWidth="1"/>
    <col min="14" max="14" width="17.83203125" customWidth="1"/>
    <col min="15" max="15" width="20" customWidth="1"/>
  </cols>
  <sheetData>
    <row r="1" spans="1:17" x14ac:dyDescent="0.3">
      <c r="A1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1" t="s">
        <v>21</v>
      </c>
      <c r="Q1" s="1" t="s">
        <v>22</v>
      </c>
    </row>
    <row r="2" spans="1:17" x14ac:dyDescent="0.3">
      <c r="A2">
        <v>1</v>
      </c>
      <c r="B2">
        <v>50</v>
      </c>
      <c r="C2" s="5">
        <v>5.7</v>
      </c>
      <c r="D2" s="5">
        <v>44.1</v>
      </c>
      <c r="E2" s="5">
        <v>23.5</v>
      </c>
      <c r="F2" s="5">
        <v>0.85</v>
      </c>
      <c r="G2" s="5">
        <v>0.32</v>
      </c>
      <c r="H2" s="5">
        <v>800</v>
      </c>
      <c r="I2" s="5">
        <v>1</v>
      </c>
      <c r="J2" s="5">
        <v>0</v>
      </c>
      <c r="K2" s="5">
        <v>18.087855297157621</v>
      </c>
      <c r="L2" s="5">
        <v>36.175710594315241</v>
      </c>
      <c r="M2" s="5">
        <v>34.883720930232556</v>
      </c>
      <c r="N2" s="5">
        <v>7.7519379844961236</v>
      </c>
      <c r="O2" s="5">
        <v>2.2999999999999998</v>
      </c>
      <c r="P2" t="s">
        <v>23</v>
      </c>
      <c r="Q2" t="s">
        <v>24</v>
      </c>
    </row>
    <row r="3" spans="1:17" x14ac:dyDescent="0.3">
      <c r="A3">
        <v>2</v>
      </c>
      <c r="B3">
        <v>50</v>
      </c>
      <c r="C3" s="5">
        <v>5.7</v>
      </c>
      <c r="D3" s="5">
        <v>44.1</v>
      </c>
      <c r="E3" s="5">
        <v>21</v>
      </c>
      <c r="F3" s="5">
        <v>0.85</v>
      </c>
      <c r="G3" s="5">
        <v>0.37</v>
      </c>
      <c r="H3" s="5">
        <v>800</v>
      </c>
      <c r="I3" s="5">
        <v>1</v>
      </c>
      <c r="J3" s="5">
        <v>0</v>
      </c>
      <c r="K3" s="5">
        <v>22.781774580335728</v>
      </c>
      <c r="L3" s="5">
        <v>31.175059952038367</v>
      </c>
      <c r="M3" s="5">
        <v>35.97122302158273</v>
      </c>
      <c r="N3" s="5">
        <v>6.4748201438848918</v>
      </c>
      <c r="O3" s="5">
        <v>2.5</v>
      </c>
      <c r="P3" t="s">
        <v>23</v>
      </c>
      <c r="Q3" t="s">
        <v>24</v>
      </c>
    </row>
    <row r="4" spans="1:17" x14ac:dyDescent="0.3">
      <c r="A4">
        <v>3</v>
      </c>
      <c r="B4">
        <v>50</v>
      </c>
      <c r="C4" s="5">
        <v>5.7</v>
      </c>
      <c r="D4" s="5">
        <v>44.1</v>
      </c>
      <c r="E4" s="5">
        <v>23</v>
      </c>
      <c r="F4" s="5">
        <v>0.85</v>
      </c>
      <c r="G4" s="5">
        <v>0.47</v>
      </c>
      <c r="H4" s="5">
        <v>810</v>
      </c>
      <c r="I4" s="5">
        <v>1</v>
      </c>
      <c r="J4" s="5">
        <v>0</v>
      </c>
      <c r="K4" s="5">
        <v>23.880597014925375</v>
      </c>
      <c r="L4" s="5">
        <v>29.850746268656717</v>
      </c>
      <c r="M4" s="5">
        <v>35.820895522388057</v>
      </c>
      <c r="N4" s="5">
        <v>7.1641791044776122</v>
      </c>
      <c r="O4" s="5">
        <v>2.5</v>
      </c>
      <c r="P4" t="s">
        <v>23</v>
      </c>
      <c r="Q4" t="s">
        <v>24</v>
      </c>
    </row>
    <row r="5" spans="1:17" x14ac:dyDescent="0.3">
      <c r="A5">
        <v>4</v>
      </c>
      <c r="B5">
        <v>50</v>
      </c>
      <c r="C5" s="5">
        <v>5.7</v>
      </c>
      <c r="D5" s="5">
        <v>44.1</v>
      </c>
      <c r="E5" s="5">
        <v>22</v>
      </c>
      <c r="F5" s="5">
        <v>0.85</v>
      </c>
      <c r="G5" s="5">
        <v>0.26</v>
      </c>
      <c r="H5" s="5">
        <v>800</v>
      </c>
      <c r="I5" s="5">
        <v>1</v>
      </c>
      <c r="J5" s="5">
        <v>0</v>
      </c>
      <c r="K5" s="5">
        <v>20.383693045563547</v>
      </c>
      <c r="L5" s="5">
        <v>31.175059952038367</v>
      </c>
      <c r="M5" s="5">
        <v>35.97122302158273</v>
      </c>
      <c r="N5" s="5">
        <v>6.4748201438848918</v>
      </c>
      <c r="O5" s="5">
        <v>2.1</v>
      </c>
      <c r="P5" t="s">
        <v>23</v>
      </c>
      <c r="Q5" t="s">
        <v>24</v>
      </c>
    </row>
    <row r="6" spans="1:17" x14ac:dyDescent="0.3">
      <c r="A6">
        <v>5</v>
      </c>
      <c r="B6">
        <v>50</v>
      </c>
      <c r="C6" s="5">
        <v>5.7</v>
      </c>
      <c r="D6" s="5">
        <v>44.1</v>
      </c>
      <c r="E6" s="5">
        <v>25</v>
      </c>
      <c r="F6" s="5">
        <v>0.85</v>
      </c>
      <c r="G6" s="5">
        <v>0.36</v>
      </c>
      <c r="H6" s="5">
        <v>790</v>
      </c>
      <c r="I6" s="5">
        <v>1</v>
      </c>
      <c r="J6" s="5">
        <v>0</v>
      </c>
      <c r="K6" s="5">
        <v>22.781774580335728</v>
      </c>
      <c r="L6" s="5">
        <v>31.175059952038367</v>
      </c>
      <c r="M6" s="5">
        <v>35.97122302158273</v>
      </c>
      <c r="N6" s="5">
        <v>6.4748201438848918</v>
      </c>
      <c r="O6" s="5">
        <v>2.4</v>
      </c>
      <c r="P6" t="s">
        <v>23</v>
      </c>
      <c r="Q6" t="s">
        <v>24</v>
      </c>
    </row>
    <row r="7" spans="1:17" x14ac:dyDescent="0.3">
      <c r="A7">
        <v>6</v>
      </c>
      <c r="B7">
        <v>50</v>
      </c>
      <c r="C7" s="5">
        <v>5.7</v>
      </c>
      <c r="D7" s="5">
        <v>44.1</v>
      </c>
      <c r="E7" s="5">
        <v>19</v>
      </c>
      <c r="F7" s="5">
        <v>0.85</v>
      </c>
      <c r="G7" s="5">
        <v>0.32</v>
      </c>
      <c r="H7" s="5">
        <v>800</v>
      </c>
      <c r="I7" s="5">
        <v>1</v>
      </c>
      <c r="J7" s="5">
        <v>0</v>
      </c>
      <c r="K7" s="5">
        <v>17.272727272727273</v>
      </c>
      <c r="L7" s="5">
        <v>32.727272727272727</v>
      </c>
      <c r="M7" s="5">
        <v>24.545454545454547</v>
      </c>
      <c r="N7" s="5">
        <v>8.1818181818181817</v>
      </c>
      <c r="O7" s="5">
        <v>2.1</v>
      </c>
      <c r="P7" t="s">
        <v>23</v>
      </c>
      <c r="Q7" t="s">
        <v>24</v>
      </c>
    </row>
    <row r="8" spans="1:17" x14ac:dyDescent="0.3">
      <c r="A8">
        <v>7</v>
      </c>
      <c r="B8" s="5">
        <v>45.889600000000002</v>
      </c>
      <c r="C8" s="5">
        <v>5.6372999999999998</v>
      </c>
      <c r="D8" s="5">
        <v>47.1753</v>
      </c>
      <c r="E8" s="5">
        <v>8.5</v>
      </c>
      <c r="F8" s="5">
        <v>1.1000000000000001</v>
      </c>
      <c r="G8" s="5">
        <v>0.32</v>
      </c>
      <c r="H8" s="5">
        <v>750</v>
      </c>
      <c r="I8" s="5">
        <v>1</v>
      </c>
      <c r="J8" s="5">
        <v>0</v>
      </c>
      <c r="K8" s="5">
        <v>14.709343374911743</v>
      </c>
      <c r="L8" s="5">
        <v>33.60790774299835</v>
      </c>
      <c r="M8" s="5">
        <v>40.127088726759233</v>
      </c>
      <c r="N8" s="5">
        <v>8.1666274417510003</v>
      </c>
      <c r="O8" s="5">
        <v>1.8907987866531848</v>
      </c>
      <c r="P8" t="s">
        <v>25</v>
      </c>
      <c r="Q8" t="s">
        <v>26</v>
      </c>
    </row>
    <row r="9" spans="1:17" x14ac:dyDescent="0.3">
      <c r="A9">
        <v>8</v>
      </c>
      <c r="B9" s="5">
        <v>45.889600000000002</v>
      </c>
      <c r="C9" s="5">
        <v>5.6372999999999998</v>
      </c>
      <c r="D9" s="5">
        <v>47.1753</v>
      </c>
      <c r="E9" s="5">
        <v>8.5</v>
      </c>
      <c r="F9" s="5">
        <v>1.1000000000000001</v>
      </c>
      <c r="G9" s="5">
        <v>0.36</v>
      </c>
      <c r="H9" s="5">
        <v>776.5</v>
      </c>
      <c r="I9" s="5">
        <v>1</v>
      </c>
      <c r="J9" s="5">
        <v>0</v>
      </c>
      <c r="K9" s="5">
        <v>16.538981523208651</v>
      </c>
      <c r="L9" s="5">
        <v>29.044614691302385</v>
      </c>
      <c r="M9" s="5">
        <v>38.192879675529518</v>
      </c>
      <c r="N9" s="5">
        <v>7.5935105903560158</v>
      </c>
      <c r="O9" s="5">
        <v>2.1840242669362993</v>
      </c>
      <c r="P9" t="s">
        <v>25</v>
      </c>
      <c r="Q9" t="s">
        <v>26</v>
      </c>
    </row>
    <row r="10" spans="1:17" x14ac:dyDescent="0.3">
      <c r="A10">
        <v>9</v>
      </c>
      <c r="B10" s="5">
        <v>45.889600000000002</v>
      </c>
      <c r="C10" s="5">
        <v>5.6372999999999998</v>
      </c>
      <c r="D10" s="5">
        <v>47.1753</v>
      </c>
      <c r="E10" s="5">
        <v>8.5</v>
      </c>
      <c r="F10" s="5">
        <v>1.1000000000000001</v>
      </c>
      <c r="G10" s="5">
        <v>0.38</v>
      </c>
      <c r="H10" s="5">
        <v>790.5</v>
      </c>
      <c r="I10" s="5">
        <v>1</v>
      </c>
      <c r="J10" s="5">
        <v>0</v>
      </c>
      <c r="K10" s="5">
        <v>19.158233670653175</v>
      </c>
      <c r="L10" s="5">
        <v>29.645814167433304</v>
      </c>
      <c r="M10" s="5">
        <v>37.396504139834413</v>
      </c>
      <c r="N10" s="5">
        <v>7.98068077276909</v>
      </c>
      <c r="O10" s="5">
        <v>2.3154701718907988</v>
      </c>
      <c r="P10" t="s">
        <v>25</v>
      </c>
      <c r="Q10" t="s">
        <v>26</v>
      </c>
    </row>
    <row r="11" spans="1:17" x14ac:dyDescent="0.3">
      <c r="A11">
        <v>10</v>
      </c>
      <c r="B11" s="5">
        <v>45.889600000000002</v>
      </c>
      <c r="C11" s="5">
        <v>5.6372999999999998</v>
      </c>
      <c r="D11" s="5">
        <v>47.1753</v>
      </c>
      <c r="E11" s="5">
        <v>8.5</v>
      </c>
      <c r="F11" s="5">
        <v>1.1000000000000001</v>
      </c>
      <c r="G11" s="5">
        <v>0.41</v>
      </c>
      <c r="H11" s="5">
        <v>808.4</v>
      </c>
      <c r="I11" s="5">
        <v>1</v>
      </c>
      <c r="J11" s="5">
        <v>0</v>
      </c>
      <c r="K11" s="5">
        <v>16.642335766423358</v>
      </c>
      <c r="L11" s="5">
        <v>28.223844282238442</v>
      </c>
      <c r="M11" s="5">
        <v>40.778588807785894</v>
      </c>
      <c r="N11" s="5">
        <v>8.442822384428224</v>
      </c>
      <c r="O11" s="5">
        <v>2.3660262891809909</v>
      </c>
      <c r="P11" t="s">
        <v>25</v>
      </c>
      <c r="Q11" t="s">
        <v>26</v>
      </c>
    </row>
    <row r="12" spans="1:17" x14ac:dyDescent="0.3">
      <c r="A12">
        <v>11</v>
      </c>
      <c r="B12" s="5">
        <v>45.889600000000002</v>
      </c>
      <c r="C12" s="5">
        <v>5.6372999999999998</v>
      </c>
      <c r="D12" s="5">
        <v>47.1753</v>
      </c>
      <c r="E12" s="5">
        <v>8.5</v>
      </c>
      <c r="F12" s="5">
        <v>1.1000000000000001</v>
      </c>
      <c r="G12" s="5">
        <v>0.43</v>
      </c>
      <c r="H12" s="5">
        <v>834.2</v>
      </c>
      <c r="I12" s="5">
        <v>1</v>
      </c>
      <c r="J12" s="5">
        <v>0</v>
      </c>
      <c r="K12" s="5">
        <v>12.235649546827796</v>
      </c>
      <c r="L12" s="5">
        <v>25.956696878147032</v>
      </c>
      <c r="M12" s="5">
        <v>40.181268882175225</v>
      </c>
      <c r="N12" s="5">
        <v>7.9808660624370598</v>
      </c>
      <c r="O12" s="5">
        <v>2.487360970677452</v>
      </c>
      <c r="P12" t="s">
        <v>25</v>
      </c>
      <c r="Q12" t="s">
        <v>26</v>
      </c>
    </row>
    <row r="13" spans="1:17" x14ac:dyDescent="0.3">
      <c r="A13">
        <v>12</v>
      </c>
      <c r="B13">
        <v>50.54</v>
      </c>
      <c r="C13" s="5">
        <v>7.08</v>
      </c>
      <c r="D13" s="5">
        <v>41.11</v>
      </c>
      <c r="E13" s="5">
        <v>8</v>
      </c>
      <c r="F13" s="5">
        <v>0.55000000000000004</v>
      </c>
      <c r="G13" s="5">
        <v>0.22</v>
      </c>
      <c r="H13" s="5">
        <v>700</v>
      </c>
      <c r="I13" s="5">
        <v>1</v>
      </c>
      <c r="J13" s="5">
        <v>2.7</v>
      </c>
      <c r="K13" s="5">
        <v>21.4</v>
      </c>
      <c r="L13" s="5">
        <v>42.85</v>
      </c>
      <c r="M13" s="5">
        <v>20.48</v>
      </c>
      <c r="N13" s="5">
        <v>9.32</v>
      </c>
      <c r="O13" s="5">
        <v>1.5629440181869847</v>
      </c>
      <c r="P13" t="s">
        <v>23</v>
      </c>
      <c r="Q13" t="s">
        <v>27</v>
      </c>
    </row>
    <row r="14" spans="1:17" x14ac:dyDescent="0.3">
      <c r="A14">
        <v>13</v>
      </c>
      <c r="B14">
        <v>50.54</v>
      </c>
      <c r="C14" s="5">
        <v>7.08</v>
      </c>
      <c r="D14" s="5">
        <v>41.11</v>
      </c>
      <c r="E14" s="5">
        <v>8</v>
      </c>
      <c r="F14" s="5">
        <v>0.55000000000000004</v>
      </c>
      <c r="G14" s="5">
        <v>0.22</v>
      </c>
      <c r="H14" s="5">
        <v>750</v>
      </c>
      <c r="I14" s="5">
        <v>1</v>
      </c>
      <c r="J14" s="5">
        <v>2.7</v>
      </c>
      <c r="K14" s="5">
        <v>28.2</v>
      </c>
      <c r="L14" s="5">
        <v>39.299999999999997</v>
      </c>
      <c r="M14" s="5">
        <v>19.5</v>
      </c>
      <c r="N14" s="5">
        <v>8.2799999999999994</v>
      </c>
      <c r="O14" s="5">
        <v>1.6503814457778652</v>
      </c>
      <c r="P14" t="s">
        <v>23</v>
      </c>
      <c r="Q14" t="s">
        <v>27</v>
      </c>
    </row>
    <row r="15" spans="1:17" x14ac:dyDescent="0.3">
      <c r="A15">
        <v>14</v>
      </c>
      <c r="B15">
        <v>50.54</v>
      </c>
      <c r="C15" s="5">
        <v>7.08</v>
      </c>
      <c r="D15" s="5">
        <v>41.11</v>
      </c>
      <c r="E15" s="5">
        <v>8</v>
      </c>
      <c r="F15" s="5">
        <v>0.55000000000000004</v>
      </c>
      <c r="G15" s="5">
        <v>0.22</v>
      </c>
      <c r="H15" s="5">
        <v>800</v>
      </c>
      <c r="I15" s="5">
        <v>1</v>
      </c>
      <c r="J15" s="5">
        <v>2.7</v>
      </c>
      <c r="K15" s="5">
        <v>32.19</v>
      </c>
      <c r="L15" s="5">
        <v>37.700000000000003</v>
      </c>
      <c r="M15" s="5">
        <v>18.64</v>
      </c>
      <c r="N15" s="5">
        <v>7.6</v>
      </c>
      <c r="O15" s="5">
        <v>2.7652086475615887</v>
      </c>
      <c r="P15" t="s">
        <v>23</v>
      </c>
      <c r="Q15" t="s">
        <v>27</v>
      </c>
    </row>
    <row r="16" spans="1:17" x14ac:dyDescent="0.3">
      <c r="A16">
        <v>15</v>
      </c>
      <c r="B16">
        <v>50.54</v>
      </c>
      <c r="C16" s="5">
        <v>7.08</v>
      </c>
      <c r="D16" s="5">
        <v>41.11</v>
      </c>
      <c r="E16" s="5">
        <v>8</v>
      </c>
      <c r="F16" s="5">
        <v>0.55000000000000004</v>
      </c>
      <c r="G16" s="5">
        <v>0.22</v>
      </c>
      <c r="H16" s="5">
        <v>850</v>
      </c>
      <c r="I16" s="5">
        <v>1</v>
      </c>
      <c r="J16" s="5">
        <v>2.7</v>
      </c>
      <c r="K16" s="5">
        <v>36.29</v>
      </c>
      <c r="L16" s="5">
        <v>34.56</v>
      </c>
      <c r="M16" s="5">
        <v>18.7</v>
      </c>
      <c r="N16" s="5">
        <v>7.3</v>
      </c>
      <c r="O16" s="5">
        <v>2.6777712199707087</v>
      </c>
      <c r="P16" t="s">
        <v>23</v>
      </c>
      <c r="Q16" t="s">
        <v>27</v>
      </c>
    </row>
    <row r="17" spans="1:17" x14ac:dyDescent="0.3">
      <c r="A17">
        <v>16</v>
      </c>
      <c r="B17">
        <v>50.54</v>
      </c>
      <c r="C17" s="5">
        <v>7.08</v>
      </c>
      <c r="D17" s="5">
        <v>41.11</v>
      </c>
      <c r="E17" s="5">
        <v>8</v>
      </c>
      <c r="F17" s="5">
        <v>0.55000000000000004</v>
      </c>
      <c r="G17" s="5">
        <v>0.22</v>
      </c>
      <c r="H17" s="5">
        <v>900</v>
      </c>
      <c r="I17" s="5">
        <v>1</v>
      </c>
      <c r="J17" s="5">
        <v>2.7</v>
      </c>
      <c r="K17" s="5">
        <v>39.42</v>
      </c>
      <c r="L17" s="5">
        <v>33.35</v>
      </c>
      <c r="M17" s="5">
        <v>19.25</v>
      </c>
      <c r="N17" s="5">
        <v>6.13</v>
      </c>
      <c r="O17" s="5">
        <v>2.7652086475615887</v>
      </c>
      <c r="P17" t="s">
        <v>23</v>
      </c>
      <c r="Q17" t="s">
        <v>27</v>
      </c>
    </row>
    <row r="18" spans="1:17" x14ac:dyDescent="0.3">
      <c r="A18">
        <v>17</v>
      </c>
      <c r="B18">
        <v>50.54</v>
      </c>
      <c r="C18" s="5">
        <v>7.08</v>
      </c>
      <c r="D18" s="5">
        <v>41.11</v>
      </c>
      <c r="E18" s="5">
        <v>8</v>
      </c>
      <c r="F18" s="5">
        <v>0.55000000000000004</v>
      </c>
      <c r="G18" s="5">
        <v>0.19</v>
      </c>
      <c r="H18" s="5">
        <v>800</v>
      </c>
      <c r="I18" s="5">
        <v>1</v>
      </c>
      <c r="J18" s="5">
        <v>1.56</v>
      </c>
      <c r="K18" s="5">
        <v>32.11</v>
      </c>
      <c r="L18" s="5">
        <v>37.92</v>
      </c>
      <c r="M18" s="5">
        <v>17.75</v>
      </c>
      <c r="N18" s="5">
        <v>7.79</v>
      </c>
      <c r="O18" s="5">
        <v>2.3280215096071868</v>
      </c>
      <c r="P18" t="s">
        <v>23</v>
      </c>
      <c r="Q18" t="s">
        <v>27</v>
      </c>
    </row>
    <row r="19" spans="1:17" x14ac:dyDescent="0.3">
      <c r="A19">
        <v>18</v>
      </c>
      <c r="B19">
        <v>50.54</v>
      </c>
      <c r="C19" s="5">
        <v>7.08</v>
      </c>
      <c r="D19" s="5">
        <v>41.11</v>
      </c>
      <c r="E19" s="5">
        <v>8</v>
      </c>
      <c r="F19" s="5">
        <v>0.55000000000000004</v>
      </c>
      <c r="G19" s="5">
        <v>0.21</v>
      </c>
      <c r="H19" s="5">
        <v>800</v>
      </c>
      <c r="I19" s="5">
        <v>1</v>
      </c>
      <c r="J19" s="5">
        <v>1.56</v>
      </c>
      <c r="K19" s="5">
        <v>31.34</v>
      </c>
      <c r="L19" s="5">
        <v>39.39</v>
      </c>
      <c r="M19" s="5">
        <v>16.899999999999999</v>
      </c>
      <c r="N19" s="5">
        <v>8.11</v>
      </c>
      <c r="O19" s="5">
        <v>2.4591776509935075</v>
      </c>
      <c r="P19" t="s">
        <v>23</v>
      </c>
      <c r="Q19" t="s">
        <v>27</v>
      </c>
    </row>
    <row r="20" spans="1:17" x14ac:dyDescent="0.3">
      <c r="A20">
        <v>19</v>
      </c>
      <c r="B20">
        <v>50.54</v>
      </c>
      <c r="C20" s="5">
        <v>7.08</v>
      </c>
      <c r="D20" s="5">
        <v>41.11</v>
      </c>
      <c r="E20" s="5">
        <v>8</v>
      </c>
      <c r="F20" s="5">
        <v>0.55000000000000004</v>
      </c>
      <c r="G20" s="5">
        <v>0.23</v>
      </c>
      <c r="H20" s="5">
        <v>800</v>
      </c>
      <c r="I20" s="5">
        <v>1</v>
      </c>
      <c r="J20" s="5">
        <v>1.56</v>
      </c>
      <c r="K20" s="5">
        <v>31.41</v>
      </c>
      <c r="L20" s="5">
        <v>39.96</v>
      </c>
      <c r="M20" s="5">
        <v>16.47</v>
      </c>
      <c r="N20" s="5">
        <v>7.59</v>
      </c>
      <c r="O20" s="5">
        <v>2.5138260432378075</v>
      </c>
      <c r="P20" t="s">
        <v>23</v>
      </c>
      <c r="Q20" t="s">
        <v>27</v>
      </c>
    </row>
    <row r="21" spans="1:17" x14ac:dyDescent="0.3">
      <c r="A21">
        <v>20</v>
      </c>
      <c r="B21">
        <v>50.54</v>
      </c>
      <c r="C21" s="5">
        <v>7.08</v>
      </c>
      <c r="D21" s="5">
        <v>41.11</v>
      </c>
      <c r="E21" s="5">
        <v>8</v>
      </c>
      <c r="F21" s="5">
        <v>0.55000000000000004</v>
      </c>
      <c r="G21" s="5">
        <v>0.25</v>
      </c>
      <c r="H21" s="5">
        <v>800</v>
      </c>
      <c r="I21" s="5">
        <v>1</v>
      </c>
      <c r="J21" s="5">
        <v>1.56</v>
      </c>
      <c r="K21" s="5">
        <v>30.98</v>
      </c>
      <c r="L21" s="5">
        <v>39.6</v>
      </c>
      <c r="M21" s="5">
        <v>18.03</v>
      </c>
      <c r="N21" s="5">
        <v>7.24</v>
      </c>
      <c r="O21" s="5">
        <v>2.3826699018514872</v>
      </c>
      <c r="P21" t="s">
        <v>23</v>
      </c>
      <c r="Q21" t="s">
        <v>27</v>
      </c>
    </row>
    <row r="22" spans="1:17" x14ac:dyDescent="0.3">
      <c r="A22">
        <v>21</v>
      </c>
      <c r="B22">
        <v>50.54</v>
      </c>
      <c r="C22" s="5">
        <v>7.08</v>
      </c>
      <c r="D22" s="5">
        <v>41.11</v>
      </c>
      <c r="E22" s="5">
        <v>8</v>
      </c>
      <c r="F22" s="5">
        <v>0.55000000000000004</v>
      </c>
      <c r="G22" s="5">
        <v>0.27</v>
      </c>
      <c r="H22" s="5">
        <v>800</v>
      </c>
      <c r="I22" s="5">
        <v>1</v>
      </c>
      <c r="J22" s="5">
        <v>1.56</v>
      </c>
      <c r="K22" s="5">
        <v>31.88</v>
      </c>
      <c r="L22" s="5">
        <v>38.020000000000003</v>
      </c>
      <c r="M22" s="5">
        <v>19.93</v>
      </c>
      <c r="N22" s="5">
        <v>6.56</v>
      </c>
      <c r="O22" s="5">
        <v>2.0547795483856861</v>
      </c>
      <c r="P22" t="s">
        <v>23</v>
      </c>
      <c r="Q22" t="s">
        <v>27</v>
      </c>
    </row>
    <row r="23" spans="1:17" x14ac:dyDescent="0.3">
      <c r="A23">
        <v>22</v>
      </c>
      <c r="B23">
        <v>50.54</v>
      </c>
      <c r="C23" s="5">
        <v>7.08</v>
      </c>
      <c r="D23" s="5">
        <v>41.11</v>
      </c>
      <c r="E23" s="5">
        <v>8</v>
      </c>
      <c r="F23" s="5">
        <v>0.55000000000000004</v>
      </c>
      <c r="G23" s="5">
        <v>0.22</v>
      </c>
      <c r="H23" s="5">
        <v>800</v>
      </c>
      <c r="I23" s="5">
        <v>1</v>
      </c>
      <c r="J23" s="5">
        <v>0</v>
      </c>
      <c r="K23" s="5">
        <v>33.5</v>
      </c>
      <c r="L23" s="5">
        <v>42.99</v>
      </c>
      <c r="M23" s="5">
        <v>15.97</v>
      </c>
      <c r="N23" s="5">
        <v>6.12</v>
      </c>
      <c r="O23" s="5">
        <v>1.5957330535335648</v>
      </c>
      <c r="P23" t="s">
        <v>23</v>
      </c>
      <c r="Q23" t="s">
        <v>27</v>
      </c>
    </row>
    <row r="24" spans="1:17" x14ac:dyDescent="0.3">
      <c r="A24">
        <v>23</v>
      </c>
      <c r="B24">
        <v>50.54</v>
      </c>
      <c r="C24" s="5">
        <v>7.08</v>
      </c>
      <c r="D24" s="5">
        <v>41.11</v>
      </c>
      <c r="E24" s="5">
        <v>8</v>
      </c>
      <c r="F24" s="5">
        <v>0.55000000000000004</v>
      </c>
      <c r="G24" s="5">
        <v>0.22</v>
      </c>
      <c r="H24" s="5">
        <v>800</v>
      </c>
      <c r="I24" s="5">
        <v>1</v>
      </c>
      <c r="J24" s="5">
        <v>1.35</v>
      </c>
      <c r="K24" s="5">
        <v>29.85</v>
      </c>
      <c r="L24" s="5">
        <v>40.53</v>
      </c>
      <c r="M24" s="5">
        <v>16.98</v>
      </c>
      <c r="N24" s="5">
        <v>8.49</v>
      </c>
      <c r="O24" s="5">
        <v>2.6121931492775481</v>
      </c>
      <c r="P24" t="s">
        <v>23</v>
      </c>
      <c r="Q24" t="s">
        <v>27</v>
      </c>
    </row>
    <row r="25" spans="1:17" x14ac:dyDescent="0.3">
      <c r="A25">
        <v>24</v>
      </c>
      <c r="B25">
        <v>50.54</v>
      </c>
      <c r="C25" s="5">
        <v>7.08</v>
      </c>
      <c r="D25" s="5">
        <v>41.11</v>
      </c>
      <c r="E25" s="5">
        <v>8</v>
      </c>
      <c r="F25" s="5">
        <v>0.55000000000000004</v>
      </c>
      <c r="G25" s="5">
        <v>0.22</v>
      </c>
      <c r="H25" s="5">
        <v>800</v>
      </c>
      <c r="I25" s="5">
        <v>1</v>
      </c>
      <c r="J25" s="5">
        <v>2.02</v>
      </c>
      <c r="K25" s="5">
        <v>30.94</v>
      </c>
      <c r="L25" s="5">
        <v>39.340000000000003</v>
      </c>
      <c r="M25" s="5">
        <v>17.34</v>
      </c>
      <c r="N25" s="5">
        <v>8.2200000000000006</v>
      </c>
      <c r="O25" s="5">
        <v>2.5575447570332477</v>
      </c>
      <c r="P25" t="s">
        <v>23</v>
      </c>
      <c r="Q25" t="s">
        <v>27</v>
      </c>
    </row>
    <row r="26" spans="1:17" x14ac:dyDescent="0.3">
      <c r="A26">
        <v>25</v>
      </c>
      <c r="B26">
        <v>50.54</v>
      </c>
      <c r="C26" s="5">
        <v>7.08</v>
      </c>
      <c r="D26" s="5">
        <v>41.11</v>
      </c>
      <c r="E26" s="5">
        <v>8</v>
      </c>
      <c r="F26" s="5">
        <v>0.55000000000000004</v>
      </c>
      <c r="G26" s="5">
        <v>0.22</v>
      </c>
      <c r="H26" s="5">
        <v>800</v>
      </c>
      <c r="I26" s="5">
        <v>1</v>
      </c>
      <c r="J26" s="5">
        <v>2.7</v>
      </c>
      <c r="K26" s="5">
        <v>32.22</v>
      </c>
      <c r="L26" s="5">
        <v>37.700000000000003</v>
      </c>
      <c r="M26" s="5">
        <v>18.71</v>
      </c>
      <c r="N26" s="5">
        <v>7.76</v>
      </c>
      <c r="O26" s="5">
        <v>2.4373182940957876</v>
      </c>
      <c r="P26" t="s">
        <v>23</v>
      </c>
      <c r="Q26" t="s">
        <v>27</v>
      </c>
    </row>
    <row r="27" spans="1:17" x14ac:dyDescent="0.3">
      <c r="A27">
        <v>26</v>
      </c>
      <c r="B27">
        <v>50.54</v>
      </c>
      <c r="C27" s="5">
        <v>7.08</v>
      </c>
      <c r="D27" s="5">
        <v>41.11</v>
      </c>
      <c r="E27" s="5">
        <v>8</v>
      </c>
      <c r="F27" s="5">
        <v>0.55000000000000004</v>
      </c>
      <c r="G27" s="5">
        <v>0.22</v>
      </c>
      <c r="H27" s="5">
        <v>800</v>
      </c>
      <c r="I27" s="5">
        <v>1</v>
      </c>
      <c r="J27" s="5">
        <v>4.04</v>
      </c>
      <c r="K27" s="5">
        <v>31.86</v>
      </c>
      <c r="L27" s="5">
        <v>37.42</v>
      </c>
      <c r="M27" s="5">
        <v>19.62</v>
      </c>
      <c r="N27" s="5">
        <v>7.48</v>
      </c>
      <c r="O27" s="5">
        <v>2.1312872975277068</v>
      </c>
      <c r="P27" t="s">
        <v>23</v>
      </c>
      <c r="Q27" t="s">
        <v>27</v>
      </c>
    </row>
    <row r="28" spans="1:17" x14ac:dyDescent="0.3">
      <c r="A28">
        <v>27</v>
      </c>
      <c r="B28">
        <v>49.47</v>
      </c>
      <c r="C28" s="5">
        <v>5.79</v>
      </c>
      <c r="D28" s="5">
        <v>41.94</v>
      </c>
      <c r="E28" s="5">
        <v>6.28</v>
      </c>
      <c r="F28" s="5">
        <v>0.71</v>
      </c>
      <c r="G28" s="5">
        <v>0.19</v>
      </c>
      <c r="H28" s="5">
        <v>780</v>
      </c>
      <c r="I28" s="5">
        <v>2</v>
      </c>
      <c r="J28" s="5">
        <v>0</v>
      </c>
      <c r="K28" s="5">
        <v>25.581395348837205</v>
      </c>
      <c r="L28" s="5">
        <v>35.271317829457359</v>
      </c>
      <c r="M28" s="5">
        <v>27.519379844961236</v>
      </c>
      <c r="N28" s="5">
        <v>11.627906976744184</v>
      </c>
      <c r="O28" s="5">
        <v>1.1689965013318637</v>
      </c>
      <c r="P28" t="s">
        <v>28</v>
      </c>
      <c r="Q28" t="s">
        <v>29</v>
      </c>
    </row>
    <row r="29" spans="1:17" x14ac:dyDescent="0.3">
      <c r="A29">
        <v>28</v>
      </c>
      <c r="B29">
        <v>49.47</v>
      </c>
      <c r="C29" s="5">
        <v>5.79</v>
      </c>
      <c r="D29" s="5">
        <v>41.94</v>
      </c>
      <c r="E29" s="5">
        <v>6.28</v>
      </c>
      <c r="F29" s="5">
        <v>0.71</v>
      </c>
      <c r="G29" s="5">
        <v>0.23</v>
      </c>
      <c r="H29" s="5">
        <v>752</v>
      </c>
      <c r="I29" s="5">
        <v>2</v>
      </c>
      <c r="J29" s="5">
        <v>0.18</v>
      </c>
      <c r="K29" s="5">
        <v>28.910891089108915</v>
      </c>
      <c r="L29" s="5">
        <v>27.32673267326733</v>
      </c>
      <c r="M29" s="5">
        <v>33.465346534653463</v>
      </c>
      <c r="N29" s="5">
        <v>10.297029702970299</v>
      </c>
      <c r="O29" s="5">
        <v>1.4246630007262893</v>
      </c>
      <c r="P29" t="s">
        <v>28</v>
      </c>
      <c r="Q29" t="s">
        <v>29</v>
      </c>
    </row>
    <row r="30" spans="1:17" x14ac:dyDescent="0.3">
      <c r="A30">
        <v>29</v>
      </c>
      <c r="B30">
        <v>49.47</v>
      </c>
      <c r="C30" s="5">
        <v>5.79</v>
      </c>
      <c r="D30" s="5">
        <v>41.94</v>
      </c>
      <c r="E30" s="5">
        <v>6.28</v>
      </c>
      <c r="F30" s="5">
        <v>0.71</v>
      </c>
      <c r="G30" s="5">
        <v>0.19</v>
      </c>
      <c r="H30" s="5">
        <v>727</v>
      </c>
      <c r="I30" s="5">
        <v>2</v>
      </c>
      <c r="J30" s="5">
        <v>0.28000000000000003</v>
      </c>
      <c r="K30" s="5">
        <v>31.034482758620687</v>
      </c>
      <c r="L30" s="5">
        <v>22.030651340996169</v>
      </c>
      <c r="M30" s="5">
        <v>35.632183908045981</v>
      </c>
      <c r="N30" s="5">
        <v>11.302681992337163</v>
      </c>
      <c r="O30" s="5">
        <v>1.4684844411936557</v>
      </c>
      <c r="P30" t="s">
        <v>28</v>
      </c>
      <c r="Q30" t="s">
        <v>29</v>
      </c>
    </row>
    <row r="31" spans="1:17" x14ac:dyDescent="0.3">
      <c r="A31">
        <v>30</v>
      </c>
      <c r="B31">
        <v>49.47</v>
      </c>
      <c r="C31" s="5">
        <v>5.79</v>
      </c>
      <c r="D31" s="5">
        <v>41.94</v>
      </c>
      <c r="E31" s="5">
        <v>6.28</v>
      </c>
      <c r="F31" s="5">
        <v>0.71</v>
      </c>
      <c r="G31" s="5">
        <v>0.27</v>
      </c>
      <c r="H31" s="5">
        <v>805</v>
      </c>
      <c r="I31" s="5">
        <v>2</v>
      </c>
      <c r="J31" s="5">
        <v>0</v>
      </c>
      <c r="K31" s="5">
        <v>25.049701789264418</v>
      </c>
      <c r="L31" s="5">
        <v>34.990059642147131</v>
      </c>
      <c r="M31" s="5">
        <v>29.622266401590462</v>
      </c>
      <c r="N31" s="5">
        <v>10.337972166998014</v>
      </c>
      <c r="O31" s="5">
        <v>1.5331502694597567</v>
      </c>
      <c r="P31" t="s">
        <v>28</v>
      </c>
      <c r="Q31" t="s">
        <v>29</v>
      </c>
    </row>
    <row r="32" spans="1:17" x14ac:dyDescent="0.3">
      <c r="A32">
        <v>31</v>
      </c>
      <c r="B32">
        <v>49.47</v>
      </c>
      <c r="C32" s="5">
        <v>5.79</v>
      </c>
      <c r="D32" s="5">
        <v>41.94</v>
      </c>
      <c r="E32" s="5">
        <v>6.28</v>
      </c>
      <c r="F32" s="5">
        <v>0.71</v>
      </c>
      <c r="G32" s="5">
        <v>0.27</v>
      </c>
      <c r="H32" s="5">
        <v>786</v>
      </c>
      <c r="I32" s="5">
        <v>2</v>
      </c>
      <c r="J32" s="5">
        <v>0.23</v>
      </c>
      <c r="K32" s="5">
        <v>28.056112224448896</v>
      </c>
      <c r="L32" s="5">
        <v>30.060120240480959</v>
      </c>
      <c r="M32" s="5">
        <v>32.464929859719433</v>
      </c>
      <c r="N32" s="5">
        <v>9.4188376753506997</v>
      </c>
      <c r="O32" s="5">
        <v>1.8555416812620422</v>
      </c>
      <c r="P32" t="s">
        <v>28</v>
      </c>
      <c r="Q32" t="s">
        <v>29</v>
      </c>
    </row>
    <row r="33" spans="1:17" x14ac:dyDescent="0.3">
      <c r="A33">
        <v>32</v>
      </c>
      <c r="B33">
        <v>49.47</v>
      </c>
      <c r="C33" s="5">
        <v>5.79</v>
      </c>
      <c r="D33" s="5">
        <v>41.94</v>
      </c>
      <c r="E33" s="5">
        <v>6.28</v>
      </c>
      <c r="F33" s="5">
        <v>0.71</v>
      </c>
      <c r="G33" s="5">
        <v>0.27</v>
      </c>
      <c r="H33" s="5">
        <v>755</v>
      </c>
      <c r="I33" s="5">
        <v>2</v>
      </c>
      <c r="J33" s="5">
        <v>0.43</v>
      </c>
      <c r="K33" s="5">
        <v>31.15384615384615</v>
      </c>
      <c r="L33" s="5">
        <v>22.884615384615383</v>
      </c>
      <c r="M33" s="5">
        <v>35.769230769230766</v>
      </c>
      <c r="N33" s="5">
        <v>10.192307692307692</v>
      </c>
      <c r="O33" s="5">
        <v>1.8985272028356803</v>
      </c>
      <c r="P33" t="s">
        <v>28</v>
      </c>
      <c r="Q33" t="s">
        <v>29</v>
      </c>
    </row>
    <row r="34" spans="1:17" x14ac:dyDescent="0.3">
      <c r="A34">
        <v>33</v>
      </c>
      <c r="B34">
        <v>49.47</v>
      </c>
      <c r="C34" s="5">
        <v>5.79</v>
      </c>
      <c r="D34" s="5">
        <v>41.94</v>
      </c>
      <c r="E34" s="5">
        <v>6.28</v>
      </c>
      <c r="F34" s="5">
        <v>0.71</v>
      </c>
      <c r="G34" s="5">
        <v>0.35</v>
      </c>
      <c r="H34" s="5">
        <v>812</v>
      </c>
      <c r="I34" s="5">
        <v>2</v>
      </c>
      <c r="J34" s="5">
        <v>0</v>
      </c>
      <c r="K34" s="5">
        <v>19.463087248322143</v>
      </c>
      <c r="L34" s="5">
        <v>35.34675615212528</v>
      </c>
      <c r="M34" s="5">
        <v>33.780760626398205</v>
      </c>
      <c r="N34" s="5">
        <v>11.409395973154361</v>
      </c>
      <c r="O34" s="5">
        <v>2.1773101144907967</v>
      </c>
      <c r="P34" t="s">
        <v>28</v>
      </c>
      <c r="Q34" t="s">
        <v>29</v>
      </c>
    </row>
    <row r="35" spans="1:17" x14ac:dyDescent="0.3">
      <c r="A35">
        <v>34</v>
      </c>
      <c r="B35">
        <v>49.47</v>
      </c>
      <c r="C35" s="5">
        <v>5.79</v>
      </c>
      <c r="D35" s="5">
        <v>41.94</v>
      </c>
      <c r="E35" s="5">
        <v>6.28</v>
      </c>
      <c r="F35" s="5">
        <v>0.71</v>
      </c>
      <c r="G35" s="5">
        <v>0.33</v>
      </c>
      <c r="H35" s="5">
        <v>804</v>
      </c>
      <c r="I35" s="5">
        <v>2</v>
      </c>
      <c r="J35" s="5">
        <v>0.22</v>
      </c>
      <c r="K35" s="5">
        <v>24.791666666666664</v>
      </c>
      <c r="L35" s="5">
        <v>32.083333333333329</v>
      </c>
      <c r="M35" s="5">
        <v>33.124999999999993</v>
      </c>
      <c r="N35" s="5">
        <v>9.9999999999999982</v>
      </c>
      <c r="O35" s="5">
        <v>2.4047228257383582</v>
      </c>
      <c r="P35" t="s">
        <v>28</v>
      </c>
      <c r="Q35" t="s">
        <v>29</v>
      </c>
    </row>
    <row r="36" spans="1:17" x14ac:dyDescent="0.3">
      <c r="A36">
        <v>35</v>
      </c>
      <c r="B36">
        <v>49.47</v>
      </c>
      <c r="C36" s="5">
        <v>5.79</v>
      </c>
      <c r="D36" s="5">
        <v>41.94</v>
      </c>
      <c r="E36" s="5">
        <v>6.28</v>
      </c>
      <c r="F36" s="5">
        <v>0.71</v>
      </c>
      <c r="G36" s="5">
        <v>0.33</v>
      </c>
      <c r="H36" s="5">
        <v>789</v>
      </c>
      <c r="I36" s="5">
        <v>2</v>
      </c>
      <c r="J36" s="5">
        <v>0.45</v>
      </c>
      <c r="K36" s="5">
        <v>27.310061601642712</v>
      </c>
      <c r="L36" s="5">
        <v>28.336755646817252</v>
      </c>
      <c r="M36" s="5">
        <v>34.907597535934293</v>
      </c>
      <c r="N36" s="5">
        <v>9.4455852156057496</v>
      </c>
      <c r="O36" s="5">
        <v>2.501616419449427</v>
      </c>
      <c r="P36" t="s">
        <v>28</v>
      </c>
      <c r="Q36" t="s">
        <v>29</v>
      </c>
    </row>
    <row r="37" spans="1:17" x14ac:dyDescent="0.3">
      <c r="A37">
        <v>36</v>
      </c>
      <c r="B37">
        <v>49.47</v>
      </c>
      <c r="C37" s="5">
        <v>5.79</v>
      </c>
      <c r="D37" s="5">
        <v>41.94</v>
      </c>
      <c r="E37" s="5">
        <v>6.28</v>
      </c>
      <c r="F37" s="5">
        <v>0.71</v>
      </c>
      <c r="G37" s="5">
        <v>0.24</v>
      </c>
      <c r="H37" s="5">
        <v>785</v>
      </c>
      <c r="I37" s="5">
        <v>2</v>
      </c>
      <c r="J37" s="5">
        <v>0</v>
      </c>
      <c r="K37" s="5">
        <v>25.44031311154599</v>
      </c>
      <c r="L37" s="5">
        <v>34.833659491193742</v>
      </c>
      <c r="M37" s="5">
        <v>28.180039138943251</v>
      </c>
      <c r="N37" s="5">
        <v>11.545988258317026</v>
      </c>
      <c r="O37" s="5">
        <v>1.7470372594872448</v>
      </c>
      <c r="P37" t="s">
        <v>28</v>
      </c>
      <c r="Q37" t="s">
        <v>29</v>
      </c>
    </row>
    <row r="38" spans="1:17" x14ac:dyDescent="0.3">
      <c r="A38">
        <v>37</v>
      </c>
      <c r="B38">
        <v>49.47</v>
      </c>
      <c r="C38" s="5">
        <v>5.79</v>
      </c>
      <c r="D38" s="5">
        <v>41.94</v>
      </c>
      <c r="E38" s="5">
        <v>6.28</v>
      </c>
      <c r="F38" s="5">
        <v>0.71</v>
      </c>
      <c r="G38" s="5">
        <v>0.3</v>
      </c>
      <c r="H38" s="5">
        <v>808</v>
      </c>
      <c r="I38" s="5">
        <v>2</v>
      </c>
      <c r="J38" s="5">
        <v>0</v>
      </c>
      <c r="K38" s="5">
        <v>21.343254356765225</v>
      </c>
      <c r="L38" s="5">
        <v>34.266692774623067</v>
      </c>
      <c r="M38" s="5">
        <v>28.979831603681223</v>
      </c>
      <c r="N38" s="5">
        <v>9.98629332289015</v>
      </c>
      <c r="O38" s="5">
        <v>2.0959252540337698</v>
      </c>
      <c r="P38" t="s">
        <v>28</v>
      </c>
      <c r="Q38" t="s">
        <v>29</v>
      </c>
    </row>
    <row r="39" spans="1:17" x14ac:dyDescent="0.3">
      <c r="A39">
        <v>38</v>
      </c>
      <c r="B39">
        <v>49.47</v>
      </c>
      <c r="C39" s="5">
        <v>5.79</v>
      </c>
      <c r="D39" s="5">
        <v>41.94</v>
      </c>
      <c r="E39" s="5">
        <v>6.28</v>
      </c>
      <c r="F39" s="5">
        <v>0.71</v>
      </c>
      <c r="G39" s="5">
        <v>0.36</v>
      </c>
      <c r="H39" s="5">
        <v>813</v>
      </c>
      <c r="I39" s="5">
        <v>2</v>
      </c>
      <c r="J39" s="5">
        <v>0</v>
      </c>
      <c r="K39" s="5">
        <v>18.307129011415032</v>
      </c>
      <c r="L39" s="5">
        <v>34.245100150764586</v>
      </c>
      <c r="M39" s="5">
        <v>32.306698255438292</v>
      </c>
      <c r="N39" s="5">
        <v>10.553521430109843</v>
      </c>
      <c r="O39" s="5">
        <v>2.3027957985877521</v>
      </c>
      <c r="P39" t="s">
        <v>28</v>
      </c>
      <c r="Q39" t="s">
        <v>29</v>
      </c>
    </row>
    <row r="40" spans="1:17" x14ac:dyDescent="0.3">
      <c r="A40">
        <v>39</v>
      </c>
      <c r="B40">
        <v>45.04</v>
      </c>
      <c r="C40" s="5">
        <v>6.4</v>
      </c>
      <c r="D40" s="5">
        <v>21.58</v>
      </c>
      <c r="E40" s="5">
        <v>6.91</v>
      </c>
      <c r="F40" s="5">
        <v>18.87</v>
      </c>
      <c r="G40" s="5">
        <v>0.42</v>
      </c>
      <c r="H40" s="5">
        <v>857</v>
      </c>
      <c r="I40" s="5">
        <v>2</v>
      </c>
      <c r="J40" s="5">
        <v>0</v>
      </c>
      <c r="K40" s="5">
        <v>5.5299539170506904</v>
      </c>
      <c r="L40" s="5">
        <v>27.188940092165897</v>
      </c>
      <c r="M40" s="5">
        <v>58.064516129032249</v>
      </c>
      <c r="N40" s="5">
        <v>9.2165898617511512</v>
      </c>
      <c r="O40" s="5">
        <v>3.3469897724952178</v>
      </c>
      <c r="P40" t="s">
        <v>30</v>
      </c>
      <c r="Q40" t="s">
        <v>29</v>
      </c>
    </row>
    <row r="41" spans="1:17" x14ac:dyDescent="0.3">
      <c r="A41">
        <v>40</v>
      </c>
      <c r="B41">
        <v>45.04</v>
      </c>
      <c r="C41" s="5">
        <v>6.4</v>
      </c>
      <c r="D41" s="5">
        <v>21.58</v>
      </c>
      <c r="E41" s="5">
        <v>6.91</v>
      </c>
      <c r="F41" s="5">
        <v>18.87</v>
      </c>
      <c r="G41" s="5">
        <v>0.35</v>
      </c>
      <c r="H41" s="5">
        <v>850</v>
      </c>
      <c r="I41" s="5">
        <v>2</v>
      </c>
      <c r="J41" s="5">
        <v>0</v>
      </c>
      <c r="K41" s="5">
        <v>7.112970711297069</v>
      </c>
      <c r="L41" s="5">
        <v>25.52301255230125</v>
      </c>
      <c r="M41" s="5">
        <v>56.066945606694546</v>
      </c>
      <c r="N41" s="5">
        <v>11.29707112970711</v>
      </c>
      <c r="O41" s="5">
        <v>2.7394838607766854</v>
      </c>
      <c r="P41" t="s">
        <v>30</v>
      </c>
      <c r="Q41" t="s">
        <v>29</v>
      </c>
    </row>
    <row r="42" spans="1:17" x14ac:dyDescent="0.3">
      <c r="A42">
        <v>41</v>
      </c>
      <c r="B42">
        <v>45.04</v>
      </c>
      <c r="C42" s="5">
        <v>6.4</v>
      </c>
      <c r="D42" s="5">
        <v>21.58</v>
      </c>
      <c r="E42" s="5">
        <v>6.91</v>
      </c>
      <c r="F42" s="5">
        <v>18.87</v>
      </c>
      <c r="G42" s="5">
        <v>0.31</v>
      </c>
      <c r="H42" s="5">
        <v>843</v>
      </c>
      <c r="I42" s="5">
        <v>2</v>
      </c>
      <c r="J42" s="5">
        <v>0</v>
      </c>
      <c r="K42" s="5">
        <v>7.7519379844961245</v>
      </c>
      <c r="L42" s="5">
        <v>25.193798449612405</v>
      </c>
      <c r="M42" s="5">
        <v>55.038759689922486</v>
      </c>
      <c r="N42" s="5">
        <v>12.015503875968994</v>
      </c>
      <c r="O42" s="5">
        <v>2.4550721682863279</v>
      </c>
      <c r="P42" t="s">
        <v>30</v>
      </c>
      <c r="Q42" t="s">
        <v>29</v>
      </c>
    </row>
    <row r="43" spans="1:17" x14ac:dyDescent="0.3">
      <c r="A43">
        <v>42</v>
      </c>
      <c r="B43">
        <v>45.04</v>
      </c>
      <c r="C43" s="5">
        <v>6.4</v>
      </c>
      <c r="D43" s="5">
        <v>21.58</v>
      </c>
      <c r="E43" s="5">
        <v>6.91</v>
      </c>
      <c r="F43" s="5">
        <v>18.87</v>
      </c>
      <c r="G43" s="5">
        <v>0.28999999999999998</v>
      </c>
      <c r="H43" s="5">
        <v>832</v>
      </c>
      <c r="I43" s="5">
        <v>2</v>
      </c>
      <c r="J43" s="5">
        <v>0</v>
      </c>
      <c r="K43" s="5">
        <v>13.043478260869563</v>
      </c>
      <c r="L43" s="5">
        <v>26.086956521739125</v>
      </c>
      <c r="M43" s="5">
        <v>48.160535117056845</v>
      </c>
      <c r="N43" s="5">
        <v>12.709030100334445</v>
      </c>
      <c r="O43" s="5">
        <v>2.3885434446249003</v>
      </c>
      <c r="P43" t="s">
        <v>30</v>
      </c>
      <c r="Q43" t="s">
        <v>29</v>
      </c>
    </row>
    <row r="44" spans="1:17" x14ac:dyDescent="0.3">
      <c r="A44">
        <v>43</v>
      </c>
      <c r="B44">
        <v>45.04</v>
      </c>
      <c r="C44" s="5">
        <v>6.4</v>
      </c>
      <c r="D44" s="5">
        <v>21.58</v>
      </c>
      <c r="E44" s="5">
        <v>6.91</v>
      </c>
      <c r="F44" s="5">
        <v>18.87</v>
      </c>
      <c r="G44" s="5">
        <v>0.25</v>
      </c>
      <c r="H44" s="5">
        <v>808</v>
      </c>
      <c r="I44" s="5">
        <v>2</v>
      </c>
      <c r="J44" s="5">
        <v>0</v>
      </c>
      <c r="K44" s="5">
        <v>21.311475409836063</v>
      </c>
      <c r="L44" s="5">
        <v>29.78142076502732</v>
      </c>
      <c r="M44" s="5">
        <v>37.704918032786885</v>
      </c>
      <c r="N44" s="5">
        <v>11.202185792349725</v>
      </c>
      <c r="O44" s="5">
        <v>2.1626703145353723</v>
      </c>
      <c r="P44" t="s">
        <v>30</v>
      </c>
      <c r="Q44" t="s">
        <v>29</v>
      </c>
    </row>
    <row r="45" spans="1:17" x14ac:dyDescent="0.3">
      <c r="A45">
        <v>44</v>
      </c>
      <c r="B45">
        <v>46.4</v>
      </c>
      <c r="C45" s="5">
        <v>5.33</v>
      </c>
      <c r="D45" s="5">
        <v>32.130000000000003</v>
      </c>
      <c r="E45" s="5">
        <v>8.66</v>
      </c>
      <c r="F45" s="5">
        <v>14.21</v>
      </c>
      <c r="G45" s="5">
        <v>0.43</v>
      </c>
      <c r="H45" s="5">
        <v>870</v>
      </c>
      <c r="I45" s="5">
        <v>2</v>
      </c>
      <c r="J45" s="5">
        <v>0</v>
      </c>
      <c r="K45" s="5">
        <v>22.834645669291341</v>
      </c>
      <c r="L45" s="5">
        <v>19.685039370078744</v>
      </c>
      <c r="M45" s="5">
        <v>46.981627296587931</v>
      </c>
      <c r="N45" s="5">
        <v>10.498687664041997</v>
      </c>
      <c r="O45" s="5">
        <v>3.2382350994669693</v>
      </c>
      <c r="P45" t="s">
        <v>31</v>
      </c>
      <c r="Q45" t="s">
        <v>29</v>
      </c>
    </row>
    <row r="46" spans="1:17" x14ac:dyDescent="0.3">
      <c r="A46">
        <v>45</v>
      </c>
      <c r="B46">
        <v>46.4</v>
      </c>
      <c r="C46" s="5">
        <v>5.33</v>
      </c>
      <c r="D46" s="5">
        <v>32.130000000000003</v>
      </c>
      <c r="E46" s="5">
        <v>8.66</v>
      </c>
      <c r="F46" s="5">
        <v>14.21</v>
      </c>
      <c r="G46" s="5">
        <v>0.23</v>
      </c>
      <c r="H46" s="5">
        <v>770</v>
      </c>
      <c r="I46" s="5">
        <v>2</v>
      </c>
      <c r="J46" s="5">
        <v>0</v>
      </c>
      <c r="K46" s="5">
        <v>27.973568281938324</v>
      </c>
      <c r="L46" s="5">
        <v>23.788546255506606</v>
      </c>
      <c r="M46" s="5">
        <v>33.480176211453738</v>
      </c>
      <c r="N46" s="5">
        <v>14.757709251101319</v>
      </c>
      <c r="O46" s="5">
        <v>2.1524426408279624</v>
      </c>
      <c r="P46" t="s">
        <v>31</v>
      </c>
      <c r="Q46" t="s">
        <v>29</v>
      </c>
    </row>
    <row r="47" spans="1:17" x14ac:dyDescent="0.3">
      <c r="A47">
        <v>46</v>
      </c>
      <c r="B47">
        <v>30.88</v>
      </c>
      <c r="C47" s="5">
        <v>4.3600000000000003</v>
      </c>
      <c r="D47" s="5">
        <v>15.61</v>
      </c>
      <c r="E47" s="5">
        <v>8.65</v>
      </c>
      <c r="F47" s="5">
        <v>43.15</v>
      </c>
      <c r="G47" s="5">
        <v>0.3</v>
      </c>
      <c r="H47" s="5">
        <v>840</v>
      </c>
      <c r="I47" s="5">
        <v>2</v>
      </c>
      <c r="J47" s="5">
        <v>0</v>
      </c>
      <c r="K47" s="5">
        <v>20.192307692307686</v>
      </c>
      <c r="L47" s="5">
        <v>23.798076923076913</v>
      </c>
      <c r="M47" s="5">
        <v>36.538461538461526</v>
      </c>
      <c r="N47" s="5">
        <v>19.47115384615384</v>
      </c>
      <c r="O47" s="5">
        <v>2.4912157566147193</v>
      </c>
      <c r="P47" t="s">
        <v>31</v>
      </c>
      <c r="Q47" t="s">
        <v>29</v>
      </c>
    </row>
    <row r="48" spans="1:17" x14ac:dyDescent="0.3">
      <c r="A48">
        <v>47</v>
      </c>
      <c r="B48" s="5">
        <v>45.100099999999998</v>
      </c>
      <c r="C48" s="5">
        <v>5.3014999999999999</v>
      </c>
      <c r="D48" s="5">
        <v>26.128399999999999</v>
      </c>
      <c r="E48" s="5">
        <v>22.1</v>
      </c>
      <c r="F48" s="5">
        <v>17.55</v>
      </c>
      <c r="G48" s="5">
        <v>0.18</v>
      </c>
      <c r="H48" s="5">
        <v>700</v>
      </c>
      <c r="I48" s="5">
        <v>1</v>
      </c>
      <c r="J48" s="5">
        <v>0</v>
      </c>
      <c r="K48" s="5">
        <v>23.677419354838708</v>
      </c>
      <c r="L48" s="5">
        <v>17.451612903225808</v>
      </c>
      <c r="M48" s="5">
        <v>36.645161290322584</v>
      </c>
      <c r="N48" s="5">
        <v>6</v>
      </c>
      <c r="O48" s="5">
        <v>0.23250000000000001</v>
      </c>
      <c r="P48" t="s">
        <v>32</v>
      </c>
      <c r="Q48" t="s">
        <v>33</v>
      </c>
    </row>
    <row r="49" spans="1:17" x14ac:dyDescent="0.3">
      <c r="A49">
        <v>48</v>
      </c>
      <c r="B49" s="5">
        <v>45.100099999999998</v>
      </c>
      <c r="C49" s="5">
        <v>5.3014999999999999</v>
      </c>
      <c r="D49" s="5">
        <v>26.128399999999999</v>
      </c>
      <c r="E49" s="5">
        <v>22.1</v>
      </c>
      <c r="F49" s="5">
        <v>17.55</v>
      </c>
      <c r="G49" s="5">
        <v>0.22</v>
      </c>
      <c r="H49" s="5">
        <v>700</v>
      </c>
      <c r="I49" s="5">
        <v>1</v>
      </c>
      <c r="J49" s="5">
        <v>0</v>
      </c>
      <c r="K49" s="5">
        <v>27.972027972027973</v>
      </c>
      <c r="L49" s="5">
        <v>20.5449722691102</v>
      </c>
      <c r="M49" s="5">
        <v>31.878466361224984</v>
      </c>
      <c r="N49" s="5">
        <v>6.1490233904027001</v>
      </c>
      <c r="O49" s="5">
        <v>0.45202300000000001</v>
      </c>
      <c r="P49" t="s">
        <v>32</v>
      </c>
      <c r="Q49" t="s">
        <v>33</v>
      </c>
    </row>
    <row r="50" spans="1:17" x14ac:dyDescent="0.3">
      <c r="A50">
        <v>49</v>
      </c>
      <c r="B50" s="5">
        <v>45.100099999999998</v>
      </c>
      <c r="C50" s="5">
        <v>5.3014999999999999</v>
      </c>
      <c r="D50" s="5">
        <v>26.128399999999999</v>
      </c>
      <c r="E50" s="5">
        <v>22.1</v>
      </c>
      <c r="F50" s="5">
        <v>17.55</v>
      </c>
      <c r="G50" s="5">
        <v>0.3</v>
      </c>
      <c r="H50" s="5">
        <v>700</v>
      </c>
      <c r="I50" s="5">
        <v>1</v>
      </c>
      <c r="J50" s="5">
        <v>0</v>
      </c>
      <c r="K50" s="5">
        <v>26.105810928013877</v>
      </c>
      <c r="L50" s="5">
        <v>21.010407632263661</v>
      </c>
      <c r="M50" s="5">
        <v>33.824804856895057</v>
      </c>
      <c r="N50" s="5">
        <v>5.3339115351257593</v>
      </c>
      <c r="O50" s="5">
        <v>0.53037999999999985</v>
      </c>
      <c r="P50" t="s">
        <v>32</v>
      </c>
      <c r="Q50" t="s">
        <v>33</v>
      </c>
    </row>
    <row r="51" spans="1:17" x14ac:dyDescent="0.3">
      <c r="A51">
        <v>50</v>
      </c>
      <c r="B51" s="5">
        <v>45.100099999999998</v>
      </c>
      <c r="C51" s="5">
        <v>5.3014999999999999</v>
      </c>
      <c r="D51" s="5">
        <v>26.128399999999999</v>
      </c>
      <c r="E51" s="5">
        <v>22.1</v>
      </c>
      <c r="F51" s="5">
        <v>17.55</v>
      </c>
      <c r="G51" s="5">
        <v>0.3</v>
      </c>
      <c r="H51" s="5">
        <v>700</v>
      </c>
      <c r="I51" s="5">
        <v>1</v>
      </c>
      <c r="J51" s="5">
        <v>0.24</v>
      </c>
      <c r="K51" s="5">
        <v>32.859813084112147</v>
      </c>
      <c r="L51" s="5">
        <v>17.476635514018692</v>
      </c>
      <c r="M51" s="5">
        <v>33.158878504672892</v>
      </c>
      <c r="N51" s="5">
        <v>4.8411214953271031</v>
      </c>
      <c r="O51" s="5">
        <v>0.72760000000000002</v>
      </c>
      <c r="P51" t="s">
        <v>32</v>
      </c>
      <c r="Q51" t="s">
        <v>33</v>
      </c>
    </row>
    <row r="52" spans="1:17" x14ac:dyDescent="0.3">
      <c r="A52">
        <v>51</v>
      </c>
      <c r="B52" s="5">
        <v>38.43</v>
      </c>
      <c r="C52" s="5">
        <v>2.97</v>
      </c>
      <c r="D52" s="5">
        <v>36.36</v>
      </c>
      <c r="E52" s="5">
        <v>9.9499999999999993</v>
      </c>
      <c r="F52" s="5">
        <v>19.52</v>
      </c>
      <c r="G52" s="5">
        <v>0.35</v>
      </c>
      <c r="H52" s="5">
        <v>750</v>
      </c>
      <c r="I52" s="5">
        <v>1</v>
      </c>
      <c r="J52" s="5">
        <v>0.5</v>
      </c>
      <c r="K52" s="5">
        <v>20.489977728285076</v>
      </c>
      <c r="L52" s="5">
        <v>28.507795100222719</v>
      </c>
      <c r="M52" s="5">
        <v>46.325167037861917</v>
      </c>
      <c r="N52" s="5">
        <v>4.6770601336302899</v>
      </c>
      <c r="O52" s="5">
        <v>1.92</v>
      </c>
      <c r="P52" t="s">
        <v>34</v>
      </c>
      <c r="Q52" t="s">
        <v>35</v>
      </c>
    </row>
    <row r="53" spans="1:17" x14ac:dyDescent="0.3">
      <c r="A53">
        <v>52</v>
      </c>
      <c r="B53" s="5">
        <v>38.43</v>
      </c>
      <c r="C53" s="5">
        <v>2.97</v>
      </c>
      <c r="D53" s="5">
        <v>36.36</v>
      </c>
      <c r="E53" s="5">
        <v>9.9499999999999993</v>
      </c>
      <c r="F53" s="5">
        <v>19.52</v>
      </c>
      <c r="G53" s="5">
        <v>0.3</v>
      </c>
      <c r="H53" s="5">
        <v>800</v>
      </c>
      <c r="I53" s="5">
        <v>1</v>
      </c>
      <c r="J53" s="5">
        <v>0.5</v>
      </c>
      <c r="K53" s="5">
        <v>24.421052631578949</v>
      </c>
      <c r="L53" s="5">
        <v>30.94736842105263</v>
      </c>
      <c r="M53" s="5">
        <v>38.73684210526315</v>
      </c>
      <c r="N53" s="5">
        <v>5.8947368421052628</v>
      </c>
      <c r="O53" s="5">
        <v>1.96</v>
      </c>
      <c r="P53" t="s">
        <v>34</v>
      </c>
      <c r="Q53" t="s">
        <v>35</v>
      </c>
    </row>
    <row r="54" spans="1:17" x14ac:dyDescent="0.3">
      <c r="A54">
        <v>53</v>
      </c>
      <c r="B54" s="5">
        <v>38.43</v>
      </c>
      <c r="C54" s="5">
        <v>2.97</v>
      </c>
      <c r="D54" s="5">
        <v>36.36</v>
      </c>
      <c r="E54" s="5">
        <v>9.9499999999999993</v>
      </c>
      <c r="F54" s="5">
        <v>19.52</v>
      </c>
      <c r="G54" s="5">
        <v>0.35</v>
      </c>
      <c r="H54" s="5">
        <v>800</v>
      </c>
      <c r="I54" s="5">
        <v>1</v>
      </c>
      <c r="J54" s="5">
        <v>0.2</v>
      </c>
      <c r="K54" s="5">
        <v>17.798594847775174</v>
      </c>
      <c r="L54" s="5">
        <v>32.084309133489462</v>
      </c>
      <c r="M54" s="5">
        <v>43.559718969555036</v>
      </c>
      <c r="N54" s="5">
        <v>6.5573770491803272</v>
      </c>
      <c r="O54" s="5">
        <v>2.0699999999999998</v>
      </c>
      <c r="P54" t="s">
        <v>34</v>
      </c>
      <c r="Q54" t="s">
        <v>35</v>
      </c>
    </row>
    <row r="55" spans="1:17" x14ac:dyDescent="0.3">
      <c r="A55">
        <v>54</v>
      </c>
      <c r="B55" s="5">
        <v>38.43</v>
      </c>
      <c r="C55" s="5">
        <v>2.97</v>
      </c>
      <c r="D55" s="5">
        <v>36.36</v>
      </c>
      <c r="E55" s="5">
        <v>9.9499999999999993</v>
      </c>
      <c r="F55" s="5">
        <v>19.52</v>
      </c>
      <c r="G55" s="5">
        <v>0.35</v>
      </c>
      <c r="H55" s="5">
        <v>800</v>
      </c>
      <c r="I55" s="5">
        <v>1</v>
      </c>
      <c r="J55" s="5">
        <v>0.5</v>
      </c>
      <c r="K55" s="5">
        <v>22.269807280513916</v>
      </c>
      <c r="L55" s="5">
        <v>28.693790149892934</v>
      </c>
      <c r="M55" s="5">
        <v>43.468950749464668</v>
      </c>
      <c r="N55" s="5">
        <v>5.5674518201284791</v>
      </c>
      <c r="O55" s="5">
        <v>2.1</v>
      </c>
      <c r="P55" t="s">
        <v>34</v>
      </c>
      <c r="Q55" t="s">
        <v>35</v>
      </c>
    </row>
    <row r="56" spans="1:17" x14ac:dyDescent="0.3">
      <c r="A56">
        <v>55</v>
      </c>
      <c r="B56" s="5">
        <v>38.43</v>
      </c>
      <c r="C56" s="5">
        <v>2.97</v>
      </c>
      <c r="D56" s="5">
        <v>36.36</v>
      </c>
      <c r="E56" s="5">
        <v>9.9499999999999993</v>
      </c>
      <c r="F56" s="5">
        <v>19.52</v>
      </c>
      <c r="G56" s="5">
        <v>0.4</v>
      </c>
      <c r="H56" s="5">
        <v>800</v>
      </c>
      <c r="I56" s="5">
        <v>1</v>
      </c>
      <c r="J56" s="5">
        <v>0.5</v>
      </c>
      <c r="K56" s="5">
        <v>21.098901098901099</v>
      </c>
      <c r="L56" s="5">
        <v>26.813186813186814</v>
      </c>
      <c r="M56" s="5">
        <v>47.252747252747255</v>
      </c>
      <c r="N56" s="5">
        <v>4.8351648351648358</v>
      </c>
      <c r="O56" s="5">
        <v>2.29</v>
      </c>
      <c r="P56" t="s">
        <v>34</v>
      </c>
      <c r="Q56" t="s">
        <v>35</v>
      </c>
    </row>
    <row r="57" spans="1:17" x14ac:dyDescent="0.3">
      <c r="A57">
        <v>56</v>
      </c>
      <c r="B57" s="5">
        <v>38.43</v>
      </c>
      <c r="C57" s="5">
        <v>2.97</v>
      </c>
      <c r="D57" s="5">
        <v>36.36</v>
      </c>
      <c r="E57" s="5">
        <v>9.9499999999999993</v>
      </c>
      <c r="F57" s="5">
        <v>19.52</v>
      </c>
      <c r="G57" s="5">
        <v>0.35</v>
      </c>
      <c r="H57" s="5">
        <v>850</v>
      </c>
      <c r="I57" s="5">
        <v>1</v>
      </c>
      <c r="J57" s="5">
        <v>0.5</v>
      </c>
      <c r="K57" s="5">
        <v>25.518672199170123</v>
      </c>
      <c r="L57" s="5">
        <v>30.08298755186722</v>
      </c>
      <c r="M57" s="5">
        <v>38.174273858921154</v>
      </c>
      <c r="N57" s="5">
        <v>6.224066390041493</v>
      </c>
      <c r="O57" s="5">
        <v>2.31</v>
      </c>
      <c r="P57" t="s">
        <v>34</v>
      </c>
      <c r="Q57" t="s">
        <v>35</v>
      </c>
    </row>
    <row r="58" spans="1:17" x14ac:dyDescent="0.3">
      <c r="A58">
        <v>57</v>
      </c>
      <c r="B58" s="5">
        <v>38.43</v>
      </c>
      <c r="C58" s="5">
        <v>2.97</v>
      </c>
      <c r="D58" s="5">
        <v>36.36</v>
      </c>
      <c r="E58" s="5">
        <v>9.9499999999999993</v>
      </c>
      <c r="F58" s="5">
        <v>19.52</v>
      </c>
      <c r="G58" s="5">
        <v>0.35</v>
      </c>
      <c r="H58" s="5">
        <v>800</v>
      </c>
      <c r="I58" s="5">
        <v>1</v>
      </c>
      <c r="J58" s="5">
        <v>0.8</v>
      </c>
      <c r="K58" s="5">
        <v>24.532224532224532</v>
      </c>
      <c r="L58" s="5">
        <v>26.403326403326403</v>
      </c>
      <c r="M58" s="5">
        <v>43.866943866943863</v>
      </c>
      <c r="N58" s="5">
        <v>5.1975051975051976</v>
      </c>
      <c r="O58" s="5">
        <v>2.13</v>
      </c>
      <c r="P58" t="s">
        <v>34</v>
      </c>
      <c r="Q58" t="s">
        <v>35</v>
      </c>
    </row>
    <row r="59" spans="1:17" x14ac:dyDescent="0.3">
      <c r="A59">
        <v>58</v>
      </c>
      <c r="B59" s="5">
        <v>38.43</v>
      </c>
      <c r="C59" s="5">
        <v>2.97</v>
      </c>
      <c r="D59" s="5">
        <v>36.36</v>
      </c>
      <c r="E59" s="5">
        <v>9.9499999999999993</v>
      </c>
      <c r="F59" s="5">
        <v>19.52</v>
      </c>
      <c r="G59" s="5">
        <v>0.35</v>
      </c>
      <c r="H59" s="5">
        <v>850</v>
      </c>
      <c r="I59" s="5">
        <v>1</v>
      </c>
      <c r="J59" s="5">
        <v>0.8</v>
      </c>
      <c r="K59" s="5">
        <v>25.889328063241106</v>
      </c>
      <c r="L59" s="5">
        <v>28.063241106719367</v>
      </c>
      <c r="M59" s="5">
        <v>40.316205533596829</v>
      </c>
      <c r="N59" s="5">
        <v>5.7312252964426875</v>
      </c>
      <c r="O59" s="5">
        <v>2.34</v>
      </c>
      <c r="P59" t="s">
        <v>34</v>
      </c>
      <c r="Q59" t="s">
        <v>35</v>
      </c>
    </row>
    <row r="60" spans="1:17" x14ac:dyDescent="0.3">
      <c r="A60">
        <v>59</v>
      </c>
      <c r="B60" s="5">
        <v>46.2607</v>
      </c>
      <c r="C60" s="5">
        <v>6.6773499999999997</v>
      </c>
      <c r="D60" s="5">
        <v>25.341899999999999</v>
      </c>
      <c r="E60" s="5">
        <v>6.4</v>
      </c>
      <c r="F60" s="5">
        <v>20.779900000000001</v>
      </c>
      <c r="G60" s="5">
        <v>0.25600000000000001</v>
      </c>
      <c r="H60" s="5">
        <v>849</v>
      </c>
      <c r="I60" s="5">
        <v>3</v>
      </c>
      <c r="J60" s="5">
        <v>0</v>
      </c>
      <c r="K60" s="5">
        <v>22.181532827622288</v>
      </c>
      <c r="L60" s="5">
        <v>25.477373790217108</v>
      </c>
      <c r="M60" s="5">
        <v>34.946377190687947</v>
      </c>
      <c r="N60" s="5">
        <v>10.933821606068534</v>
      </c>
      <c r="O60" s="5">
        <v>2.184760620364127</v>
      </c>
      <c r="P60" t="s">
        <v>36</v>
      </c>
      <c r="Q60" t="s">
        <v>37</v>
      </c>
    </row>
    <row r="61" spans="1:17" x14ac:dyDescent="0.3">
      <c r="A61">
        <v>60</v>
      </c>
      <c r="B61" s="5">
        <v>46.2607</v>
      </c>
      <c r="C61" s="5">
        <v>6.6773499999999997</v>
      </c>
      <c r="D61" s="5">
        <v>25.341899999999999</v>
      </c>
      <c r="E61" s="5">
        <v>6.4</v>
      </c>
      <c r="F61" s="5">
        <v>20.779900000000001</v>
      </c>
      <c r="G61" s="5">
        <v>0.255</v>
      </c>
      <c r="H61" s="5">
        <v>852</v>
      </c>
      <c r="I61" s="5">
        <v>3</v>
      </c>
      <c r="J61" s="5">
        <v>0</v>
      </c>
      <c r="K61" s="5">
        <v>18.064024390243901</v>
      </c>
      <c r="L61" s="5">
        <v>25.355691056910569</v>
      </c>
      <c r="M61" s="5">
        <v>39.862804878048784</v>
      </c>
      <c r="N61" s="5">
        <v>10.670731707317074</v>
      </c>
      <c r="O61" s="5">
        <v>2.3331085637221851</v>
      </c>
      <c r="P61" t="s">
        <v>36</v>
      </c>
      <c r="Q61" t="s">
        <v>37</v>
      </c>
    </row>
    <row r="62" spans="1:17" x14ac:dyDescent="0.3">
      <c r="A62">
        <v>61</v>
      </c>
      <c r="B62" s="5">
        <v>46.2607</v>
      </c>
      <c r="C62" s="5">
        <v>6.6773499999999997</v>
      </c>
      <c r="D62" s="5">
        <v>25.341899999999999</v>
      </c>
      <c r="E62" s="5">
        <v>6.4</v>
      </c>
      <c r="F62" s="5">
        <v>20.779900000000001</v>
      </c>
      <c r="G62" s="5">
        <v>0.27200000000000002</v>
      </c>
      <c r="H62" s="5">
        <v>869</v>
      </c>
      <c r="I62" s="5">
        <v>3</v>
      </c>
      <c r="J62" s="5">
        <v>0</v>
      </c>
      <c r="K62" s="5">
        <v>22.019306026611012</v>
      </c>
      <c r="L62" s="5">
        <v>27.315418732063659</v>
      </c>
      <c r="M62" s="5">
        <v>32.037568484216017</v>
      </c>
      <c r="N62" s="5">
        <v>11.922775893555961</v>
      </c>
      <c r="O62" s="5">
        <v>2.3196223870532706</v>
      </c>
      <c r="P62" t="s">
        <v>36</v>
      </c>
      <c r="Q62" t="s">
        <v>37</v>
      </c>
    </row>
    <row r="63" spans="1:17" x14ac:dyDescent="0.3">
      <c r="A63">
        <v>62</v>
      </c>
      <c r="B63" s="5">
        <v>46.2607</v>
      </c>
      <c r="C63" s="5">
        <v>6.6773499999999997</v>
      </c>
      <c r="D63" s="5">
        <v>25.341899999999999</v>
      </c>
      <c r="E63" s="5">
        <v>6.4</v>
      </c>
      <c r="F63" s="5">
        <v>20.779900000000001</v>
      </c>
      <c r="G63" s="5">
        <v>0.30199999999999999</v>
      </c>
      <c r="H63" s="5">
        <v>879</v>
      </c>
      <c r="I63" s="5">
        <v>3</v>
      </c>
      <c r="J63" s="5">
        <v>0</v>
      </c>
      <c r="K63" s="5">
        <v>21.604614577871001</v>
      </c>
      <c r="L63" s="5">
        <v>27.267960146827477</v>
      </c>
      <c r="M63" s="5">
        <v>33.639223911903514</v>
      </c>
      <c r="N63" s="5">
        <v>11.405348715259569</v>
      </c>
      <c r="O63" s="5">
        <v>2.5758597437626438</v>
      </c>
      <c r="P63" t="s">
        <v>36</v>
      </c>
      <c r="Q63" t="s">
        <v>37</v>
      </c>
    </row>
    <row r="64" spans="1:17" x14ac:dyDescent="0.3">
      <c r="A64">
        <v>63</v>
      </c>
      <c r="B64" s="5">
        <v>46.2607</v>
      </c>
      <c r="C64" s="5">
        <v>6.6773499999999997</v>
      </c>
      <c r="D64" s="5">
        <v>25.341899999999999</v>
      </c>
      <c r="E64" s="5">
        <v>6.4</v>
      </c>
      <c r="F64" s="5">
        <v>20.779900000000001</v>
      </c>
      <c r="G64" s="5">
        <v>0.318</v>
      </c>
      <c r="H64" s="5">
        <v>898</v>
      </c>
      <c r="I64" s="5">
        <v>3</v>
      </c>
      <c r="J64" s="5">
        <v>0</v>
      </c>
      <c r="K64" s="5">
        <v>17.996949669547533</v>
      </c>
      <c r="L64" s="5">
        <v>32.358922216573461</v>
      </c>
      <c r="M64" s="5">
        <v>35.688866293848498</v>
      </c>
      <c r="N64" s="5">
        <v>8.4646670055922719</v>
      </c>
      <c r="O64" s="5">
        <v>2.7511800404585305</v>
      </c>
      <c r="P64" t="s">
        <v>36</v>
      </c>
      <c r="Q64" t="s">
        <v>37</v>
      </c>
    </row>
    <row r="65" spans="1:17" x14ac:dyDescent="0.3">
      <c r="A65">
        <v>64</v>
      </c>
      <c r="B65" s="5">
        <v>46.2607</v>
      </c>
      <c r="C65" s="5">
        <v>6.6773499999999997</v>
      </c>
      <c r="D65" s="5">
        <v>25.341899999999999</v>
      </c>
      <c r="E65" s="5">
        <v>6.4</v>
      </c>
      <c r="F65" s="5">
        <v>20.779900000000001</v>
      </c>
      <c r="G65" s="5">
        <v>0.33200000000000002</v>
      </c>
      <c r="H65" s="5">
        <v>932</v>
      </c>
      <c r="I65" s="5">
        <v>3</v>
      </c>
      <c r="J65" s="5">
        <v>0</v>
      </c>
      <c r="K65" s="5">
        <v>21.701045493077139</v>
      </c>
      <c r="L65" s="5">
        <v>29.895450692285955</v>
      </c>
      <c r="M65" s="5">
        <v>32.947160214749928</v>
      </c>
      <c r="N65" s="5">
        <v>10.680983328623904</v>
      </c>
      <c r="O65" s="5">
        <v>2.6972353337828729</v>
      </c>
      <c r="P65" t="s">
        <v>36</v>
      </c>
      <c r="Q65" t="s">
        <v>37</v>
      </c>
    </row>
    <row r="66" spans="1:17" x14ac:dyDescent="0.3">
      <c r="A66">
        <v>65</v>
      </c>
      <c r="B66">
        <v>41.395921908893705</v>
      </c>
      <c r="C66">
        <v>5.4408242950108452</v>
      </c>
      <c r="D66">
        <v>46.513340563991321</v>
      </c>
      <c r="E66" s="5">
        <v>7.8</v>
      </c>
      <c r="F66">
        <v>4.8806941431670277</v>
      </c>
      <c r="G66" s="5">
        <v>0.25</v>
      </c>
      <c r="H66" s="5">
        <v>650</v>
      </c>
      <c r="I66" s="5">
        <v>1</v>
      </c>
      <c r="J66" s="5">
        <v>0</v>
      </c>
      <c r="K66">
        <v>19.614921780986766</v>
      </c>
      <c r="L66">
        <v>30.32490974729242</v>
      </c>
      <c r="M66">
        <v>44.283995186522262</v>
      </c>
      <c r="N66">
        <v>5.7761732851985563</v>
      </c>
      <c r="O66">
        <v>1.325242718446602</v>
      </c>
      <c r="P66" t="s">
        <v>38</v>
      </c>
      <c r="Q66" t="s">
        <v>39</v>
      </c>
    </row>
    <row r="67" spans="1:17" x14ac:dyDescent="0.3">
      <c r="A67">
        <v>66</v>
      </c>
      <c r="B67">
        <v>41.395921908893705</v>
      </c>
      <c r="C67">
        <v>5.4408242950108452</v>
      </c>
      <c r="D67">
        <v>46.513340563991321</v>
      </c>
      <c r="E67" s="5">
        <v>7.8</v>
      </c>
      <c r="F67">
        <v>4.8806941431670277</v>
      </c>
      <c r="G67" s="5">
        <v>0.25</v>
      </c>
      <c r="H67" s="5">
        <v>750</v>
      </c>
      <c r="I67" s="5">
        <v>1</v>
      </c>
      <c r="J67" s="5">
        <v>0</v>
      </c>
      <c r="K67">
        <v>15.491452991452993</v>
      </c>
      <c r="L67">
        <v>31.623931623931625</v>
      </c>
      <c r="M67">
        <v>44.551282051282058</v>
      </c>
      <c r="N67">
        <v>8.3333333333333339</v>
      </c>
      <c r="O67">
        <v>1.4854368932038835</v>
      </c>
      <c r="P67" t="s">
        <v>38</v>
      </c>
      <c r="Q67" t="s">
        <v>39</v>
      </c>
    </row>
    <row r="68" spans="1:17" x14ac:dyDescent="0.3">
      <c r="A68">
        <v>67</v>
      </c>
      <c r="B68">
        <v>41.395921908893705</v>
      </c>
      <c r="C68">
        <v>5.4408242950108452</v>
      </c>
      <c r="D68">
        <v>46.513340563991321</v>
      </c>
      <c r="E68" s="5">
        <v>7.8</v>
      </c>
      <c r="F68">
        <v>4.8806941431670277</v>
      </c>
      <c r="G68" s="5">
        <v>0.25</v>
      </c>
      <c r="H68" s="5">
        <v>850</v>
      </c>
      <c r="I68" s="5">
        <v>1</v>
      </c>
      <c r="J68" s="5">
        <v>0</v>
      </c>
      <c r="K68">
        <v>16.045845272206304</v>
      </c>
      <c r="L68">
        <v>36.198662846227315</v>
      </c>
      <c r="M68">
        <v>40.687679083094558</v>
      </c>
      <c r="N68">
        <v>7.0678127984718238</v>
      </c>
      <c r="O68">
        <v>1.6747572815533982</v>
      </c>
      <c r="P68" t="s">
        <v>38</v>
      </c>
      <c r="Q68" t="s">
        <v>39</v>
      </c>
    </row>
    <row r="69" spans="1:17" x14ac:dyDescent="0.3">
      <c r="A69">
        <v>68</v>
      </c>
      <c r="B69">
        <v>41.395921908893705</v>
      </c>
      <c r="C69">
        <v>5.4408242950108452</v>
      </c>
      <c r="D69">
        <v>46.513340563991321</v>
      </c>
      <c r="E69" s="5">
        <v>7.8</v>
      </c>
      <c r="F69">
        <v>4.8806941431670277</v>
      </c>
      <c r="G69" s="5">
        <v>0.25</v>
      </c>
      <c r="H69" s="5">
        <v>950</v>
      </c>
      <c r="I69" s="5">
        <v>1</v>
      </c>
      <c r="J69" s="5">
        <v>0</v>
      </c>
      <c r="K69">
        <v>20.297951582867789</v>
      </c>
      <c r="L69">
        <v>38.547486033519554</v>
      </c>
      <c r="M69">
        <v>34.543761638733713</v>
      </c>
      <c r="N69">
        <v>6.6108007448789579</v>
      </c>
      <c r="O69">
        <v>1.9223300970873787</v>
      </c>
      <c r="P69" t="s">
        <v>38</v>
      </c>
      <c r="Q69" t="s">
        <v>39</v>
      </c>
    </row>
    <row r="70" spans="1:17" x14ac:dyDescent="0.3">
      <c r="A70">
        <v>69</v>
      </c>
      <c r="B70">
        <v>41.395921908893705</v>
      </c>
      <c r="C70">
        <v>5.4408242950108452</v>
      </c>
      <c r="D70">
        <v>46.513340563991321</v>
      </c>
      <c r="E70" s="5">
        <v>7.8</v>
      </c>
      <c r="F70">
        <v>4.8806941431670277</v>
      </c>
      <c r="G70" s="5">
        <v>0.25</v>
      </c>
      <c r="H70" s="5">
        <v>1050</v>
      </c>
      <c r="I70" s="5">
        <v>1</v>
      </c>
      <c r="J70" s="5">
        <v>0</v>
      </c>
      <c r="K70">
        <v>25.160109789569994</v>
      </c>
      <c r="L70">
        <v>40.073193046660577</v>
      </c>
      <c r="M70">
        <v>28.270814272644103</v>
      </c>
      <c r="N70">
        <v>6.4958828911253432</v>
      </c>
      <c r="O70">
        <v>2.0242718446601944</v>
      </c>
      <c r="P70" t="s">
        <v>38</v>
      </c>
      <c r="Q70" t="s">
        <v>39</v>
      </c>
    </row>
    <row r="71" spans="1:17" x14ac:dyDescent="0.3">
      <c r="A71">
        <v>70</v>
      </c>
      <c r="B71">
        <v>41.395921908893705</v>
      </c>
      <c r="C71">
        <v>5.4408242950108452</v>
      </c>
      <c r="D71">
        <v>46.513340563991321</v>
      </c>
      <c r="E71" s="5">
        <v>7.8</v>
      </c>
      <c r="F71">
        <v>4.8806941431670277</v>
      </c>
      <c r="G71" s="5">
        <v>0.17</v>
      </c>
      <c r="H71" s="5">
        <v>770</v>
      </c>
      <c r="I71" s="5">
        <v>1</v>
      </c>
      <c r="J71" s="5">
        <v>0</v>
      </c>
      <c r="K71">
        <v>16.5083135391924</v>
      </c>
      <c r="L71">
        <v>35.273159144893114</v>
      </c>
      <c r="M71">
        <v>40.855106888361043</v>
      </c>
      <c r="N71">
        <v>7.3634204275534447</v>
      </c>
      <c r="O71">
        <v>1.1882352941176471</v>
      </c>
      <c r="P71" t="s">
        <v>38</v>
      </c>
      <c r="Q71" t="s">
        <v>39</v>
      </c>
    </row>
    <row r="72" spans="1:17" x14ac:dyDescent="0.3">
      <c r="A72">
        <v>71</v>
      </c>
      <c r="B72">
        <v>41.395921908893705</v>
      </c>
      <c r="C72">
        <v>5.4408242950108452</v>
      </c>
      <c r="D72">
        <v>46.513340563991321</v>
      </c>
      <c r="E72" s="5">
        <v>7.8</v>
      </c>
      <c r="F72">
        <v>4.8806941431670277</v>
      </c>
      <c r="G72" s="5">
        <v>0.21</v>
      </c>
      <c r="H72" s="5">
        <v>770</v>
      </c>
      <c r="I72" s="5">
        <v>1</v>
      </c>
      <c r="J72" s="5">
        <v>0</v>
      </c>
      <c r="K72">
        <v>12.078977932636469</v>
      </c>
      <c r="L72">
        <v>36.353077816492451</v>
      </c>
      <c r="M72">
        <v>42.27642276422764</v>
      </c>
      <c r="N72">
        <v>9.2915214866434379</v>
      </c>
      <c r="O72">
        <v>1.3294117647058823</v>
      </c>
      <c r="P72" t="s">
        <v>38</v>
      </c>
      <c r="Q72" t="s">
        <v>39</v>
      </c>
    </row>
    <row r="73" spans="1:17" x14ac:dyDescent="0.3">
      <c r="A73">
        <v>72</v>
      </c>
      <c r="B73">
        <v>41.395921908893705</v>
      </c>
      <c r="C73">
        <v>5.4408242950108452</v>
      </c>
      <c r="D73">
        <v>46.513340563991321</v>
      </c>
      <c r="E73" s="5">
        <v>7.8</v>
      </c>
      <c r="F73">
        <v>4.8806941431670277</v>
      </c>
      <c r="G73" s="5">
        <v>0.28000000000000003</v>
      </c>
      <c r="H73" s="5">
        <v>770</v>
      </c>
      <c r="I73" s="5">
        <v>1</v>
      </c>
      <c r="J73" s="5">
        <v>0</v>
      </c>
      <c r="K73">
        <v>11.910669975186105</v>
      </c>
      <c r="L73">
        <v>34.24317617866005</v>
      </c>
      <c r="M73">
        <v>46.277915632754343</v>
      </c>
      <c r="N73">
        <v>7.5682382133995043</v>
      </c>
      <c r="O73">
        <v>1.6</v>
      </c>
      <c r="P73" t="s">
        <v>38</v>
      </c>
      <c r="Q73" t="s">
        <v>39</v>
      </c>
    </row>
    <row r="74" spans="1:17" x14ac:dyDescent="0.3">
      <c r="A74">
        <v>73</v>
      </c>
      <c r="B74">
        <v>41.395921908893705</v>
      </c>
      <c r="C74">
        <v>5.4408242950108452</v>
      </c>
      <c r="D74">
        <v>46.513340563991321</v>
      </c>
      <c r="E74" s="5">
        <v>7.8</v>
      </c>
      <c r="F74">
        <v>4.8806941431670277</v>
      </c>
      <c r="G74" s="5">
        <v>0.32</v>
      </c>
      <c r="H74" s="5">
        <v>770</v>
      </c>
      <c r="I74" s="5">
        <v>1</v>
      </c>
      <c r="J74" s="5">
        <v>0</v>
      </c>
      <c r="K74">
        <v>9.5785440613026811</v>
      </c>
      <c r="L74">
        <v>33.077905491698594</v>
      </c>
      <c r="M74">
        <v>50.702426564495518</v>
      </c>
      <c r="N74">
        <v>6.6411238825031926</v>
      </c>
      <c r="O74">
        <v>1.7529411764705882</v>
      </c>
      <c r="P74" t="s">
        <v>38</v>
      </c>
      <c r="Q74" t="s">
        <v>39</v>
      </c>
    </row>
    <row r="75" spans="1:17" x14ac:dyDescent="0.3">
      <c r="A75">
        <v>74</v>
      </c>
      <c r="B75">
        <v>44.749414519906324</v>
      </c>
      <c r="C75">
        <v>5.8026932084309131</v>
      </c>
      <c r="D75">
        <v>45.286885245901637</v>
      </c>
      <c r="E75" s="5">
        <v>14.6</v>
      </c>
      <c r="F75">
        <v>0.46838407494145196</v>
      </c>
      <c r="G75" s="5">
        <v>0.25</v>
      </c>
      <c r="H75" s="5">
        <v>650</v>
      </c>
      <c r="I75" s="5">
        <v>1</v>
      </c>
      <c r="J75" s="5">
        <v>0</v>
      </c>
      <c r="K75">
        <v>15.417558886509633</v>
      </c>
      <c r="L75">
        <v>37.901498929336185</v>
      </c>
      <c r="M75">
        <v>39.079229122055665</v>
      </c>
      <c r="N75">
        <v>7.6017130620985007</v>
      </c>
      <c r="O75">
        <v>1.2918660287081341</v>
      </c>
      <c r="P75" t="s">
        <v>40</v>
      </c>
      <c r="Q75" t="s">
        <v>39</v>
      </c>
    </row>
    <row r="76" spans="1:17" x14ac:dyDescent="0.3">
      <c r="A76">
        <v>75</v>
      </c>
      <c r="B76">
        <v>44.749414519906324</v>
      </c>
      <c r="C76">
        <v>5.8026932084309131</v>
      </c>
      <c r="D76">
        <v>45.286885245901637</v>
      </c>
      <c r="E76" s="5">
        <v>14.6</v>
      </c>
      <c r="F76">
        <v>0.46838407494145196</v>
      </c>
      <c r="G76" s="5">
        <v>0.25</v>
      </c>
      <c r="H76" s="5">
        <v>750</v>
      </c>
      <c r="I76" s="5">
        <v>1</v>
      </c>
      <c r="J76" s="5">
        <v>0</v>
      </c>
      <c r="K76">
        <v>14.742268041237114</v>
      </c>
      <c r="L76">
        <v>35.979381443298969</v>
      </c>
      <c r="M76">
        <v>43.195876288659797</v>
      </c>
      <c r="N76">
        <v>6.0824742268041243</v>
      </c>
      <c r="O76">
        <v>1.7081339712918662</v>
      </c>
      <c r="P76" t="s">
        <v>40</v>
      </c>
      <c r="Q76" t="s">
        <v>39</v>
      </c>
    </row>
    <row r="77" spans="1:17" x14ac:dyDescent="0.3">
      <c r="A77">
        <v>76</v>
      </c>
      <c r="B77">
        <v>44.749414519906324</v>
      </c>
      <c r="C77">
        <v>5.8026932084309131</v>
      </c>
      <c r="D77">
        <v>45.286885245901637</v>
      </c>
      <c r="E77" s="5">
        <v>14.6</v>
      </c>
      <c r="F77">
        <v>0.46838407494145196</v>
      </c>
      <c r="G77" s="5">
        <v>0.25</v>
      </c>
      <c r="H77" s="5">
        <v>850</v>
      </c>
      <c r="I77" s="5">
        <v>1</v>
      </c>
      <c r="J77" s="5">
        <v>0</v>
      </c>
      <c r="K77">
        <v>17.674418604651166</v>
      </c>
      <c r="L77">
        <v>32.837209302325583</v>
      </c>
      <c r="M77">
        <v>42.97674418604651</v>
      </c>
      <c r="N77">
        <v>6.5116279069767442</v>
      </c>
      <c r="O77">
        <v>1.7799043062200957</v>
      </c>
      <c r="P77" t="s">
        <v>40</v>
      </c>
      <c r="Q77" t="s">
        <v>39</v>
      </c>
    </row>
    <row r="78" spans="1:17" x14ac:dyDescent="0.3">
      <c r="A78">
        <v>77</v>
      </c>
      <c r="B78">
        <v>44.749414519906324</v>
      </c>
      <c r="C78">
        <v>5.8026932084309131</v>
      </c>
      <c r="D78">
        <v>45.286885245901637</v>
      </c>
      <c r="E78" s="5">
        <v>14.6</v>
      </c>
      <c r="F78">
        <v>0.46838407494145196</v>
      </c>
      <c r="G78" s="5">
        <v>0.25</v>
      </c>
      <c r="H78" s="5">
        <v>950</v>
      </c>
      <c r="I78" s="5">
        <v>1</v>
      </c>
      <c r="J78" s="5">
        <v>0</v>
      </c>
      <c r="K78">
        <v>29.697986577181204</v>
      </c>
      <c r="L78">
        <v>31.208053691275168</v>
      </c>
      <c r="M78">
        <v>33.13758389261745</v>
      </c>
      <c r="N78">
        <v>5.9563758389261743</v>
      </c>
      <c r="O78">
        <v>1.8373205741626795</v>
      </c>
      <c r="P78" t="s">
        <v>40</v>
      </c>
      <c r="Q78" t="s">
        <v>39</v>
      </c>
    </row>
    <row r="79" spans="1:17" x14ac:dyDescent="0.3">
      <c r="A79">
        <v>78</v>
      </c>
      <c r="B79">
        <v>44.749414519906324</v>
      </c>
      <c r="C79">
        <v>5.8026932084309131</v>
      </c>
      <c r="D79">
        <v>45.286885245901637</v>
      </c>
      <c r="E79" s="5">
        <v>14.6</v>
      </c>
      <c r="F79">
        <v>0.46838407494145196</v>
      </c>
      <c r="G79" s="5">
        <v>0.25</v>
      </c>
      <c r="H79" s="5">
        <v>1050</v>
      </c>
      <c r="I79" s="5">
        <v>1</v>
      </c>
      <c r="J79" s="5">
        <v>0</v>
      </c>
      <c r="K79">
        <v>36.455893832943005</v>
      </c>
      <c r="L79">
        <v>32.943013270882126</v>
      </c>
      <c r="M79">
        <v>25.370804059328652</v>
      </c>
      <c r="N79">
        <v>5.2302888368462135</v>
      </c>
      <c r="O79">
        <v>1.9808612440191389</v>
      </c>
      <c r="P79" t="s">
        <v>40</v>
      </c>
      <c r="Q79" t="s">
        <v>39</v>
      </c>
    </row>
    <row r="80" spans="1:17" x14ac:dyDescent="0.3">
      <c r="A80">
        <v>79</v>
      </c>
      <c r="B80" s="5">
        <v>85.170299999999997</v>
      </c>
      <c r="C80" s="5">
        <v>13.8277</v>
      </c>
      <c r="D80" s="5">
        <v>0</v>
      </c>
      <c r="E80" s="5">
        <v>0.2</v>
      </c>
      <c r="F80" s="5">
        <v>1.002</v>
      </c>
      <c r="G80" s="5">
        <v>0.22</v>
      </c>
      <c r="H80" s="5">
        <v>867</v>
      </c>
      <c r="I80" s="5">
        <v>1</v>
      </c>
      <c r="J80" s="5">
        <v>0</v>
      </c>
      <c r="K80" s="5">
        <v>26.912181303116149</v>
      </c>
      <c r="L80" s="5">
        <v>6.7988668555240794</v>
      </c>
      <c r="M80" s="5">
        <v>27.195467422096318</v>
      </c>
      <c r="N80" s="5">
        <v>25.779036827195469</v>
      </c>
      <c r="O80" s="5">
        <v>3.3522265849300981</v>
      </c>
      <c r="P80" t="s">
        <v>41</v>
      </c>
      <c r="Q80" t="s">
        <v>42</v>
      </c>
    </row>
    <row r="81" spans="1:17" x14ac:dyDescent="0.3">
      <c r="A81">
        <v>80</v>
      </c>
      <c r="B81" s="5">
        <v>85.170299999999997</v>
      </c>
      <c r="C81" s="5">
        <v>13.8277</v>
      </c>
      <c r="D81" s="5">
        <v>0</v>
      </c>
      <c r="E81" s="5">
        <v>0.2</v>
      </c>
      <c r="F81" s="5">
        <v>1.002</v>
      </c>
      <c r="G81" s="5">
        <v>0.31</v>
      </c>
      <c r="H81" s="5">
        <v>898</v>
      </c>
      <c r="I81" s="5">
        <v>1</v>
      </c>
      <c r="J81" s="5">
        <v>0</v>
      </c>
      <c r="K81" s="5">
        <v>25.3125</v>
      </c>
      <c r="L81" s="5">
        <v>6.8750000000000009</v>
      </c>
      <c r="M81" s="5">
        <v>32.5</v>
      </c>
      <c r="N81" s="5">
        <v>22.1875</v>
      </c>
      <c r="O81" s="5">
        <v>4.3956042176447099</v>
      </c>
      <c r="P81" t="s">
        <v>41</v>
      </c>
      <c r="Q81" t="s">
        <v>42</v>
      </c>
    </row>
    <row r="82" spans="1:17" x14ac:dyDescent="0.3">
      <c r="A82">
        <v>81</v>
      </c>
      <c r="B82" s="5">
        <v>85.170299999999997</v>
      </c>
      <c r="C82" s="5">
        <v>13.8277</v>
      </c>
      <c r="D82" s="5">
        <v>0</v>
      </c>
      <c r="E82" s="5">
        <v>0.2</v>
      </c>
      <c r="F82" s="5">
        <v>1.002</v>
      </c>
      <c r="G82" s="5">
        <v>0.2</v>
      </c>
      <c r="H82" s="5">
        <v>845</v>
      </c>
      <c r="I82" s="5">
        <v>1</v>
      </c>
      <c r="J82" s="5">
        <v>0</v>
      </c>
      <c r="K82" s="5">
        <v>25.348189415041787</v>
      </c>
      <c r="L82" s="5">
        <v>7.7994428969359353</v>
      </c>
      <c r="M82" s="5">
        <v>25.348189415041787</v>
      </c>
      <c r="N82" s="5">
        <v>28.96935933147633</v>
      </c>
      <c r="O82" s="5">
        <v>2.9980012110684697</v>
      </c>
      <c r="P82" t="s">
        <v>41</v>
      </c>
      <c r="Q82" t="s">
        <v>42</v>
      </c>
    </row>
    <row r="83" spans="1:17" x14ac:dyDescent="0.3">
      <c r="A83">
        <v>82</v>
      </c>
      <c r="B83" s="5">
        <v>85.170299999999997</v>
      </c>
      <c r="C83" s="5">
        <v>13.8277</v>
      </c>
      <c r="D83" s="5">
        <v>0</v>
      </c>
      <c r="E83" s="5">
        <v>0.2</v>
      </c>
      <c r="F83" s="5">
        <v>1.002</v>
      </c>
      <c r="G83" s="5">
        <v>0.27</v>
      </c>
      <c r="H83" s="5">
        <v>807</v>
      </c>
      <c r="I83" s="5">
        <v>3</v>
      </c>
      <c r="J83" s="5">
        <v>0</v>
      </c>
      <c r="K83" s="5">
        <v>52.745098039215677</v>
      </c>
      <c r="L83" s="5">
        <v>39.2156862745098</v>
      </c>
      <c r="M83" s="5">
        <v>2.7450980392156858</v>
      </c>
      <c r="N83" s="5">
        <v>4.3137254901960782</v>
      </c>
      <c r="O83" s="5">
        <v>5.4936154736312641</v>
      </c>
      <c r="P83" t="s">
        <v>41</v>
      </c>
      <c r="Q83" t="s">
        <v>42</v>
      </c>
    </row>
    <row r="84" spans="1:17" x14ac:dyDescent="0.3">
      <c r="A84">
        <v>83</v>
      </c>
      <c r="B84" s="5">
        <v>85.170299999999997</v>
      </c>
      <c r="C84" s="5">
        <v>13.8277</v>
      </c>
      <c r="D84" s="5">
        <v>0</v>
      </c>
      <c r="E84" s="5">
        <v>0.2</v>
      </c>
      <c r="F84" s="5">
        <v>1.002</v>
      </c>
      <c r="G84" s="5">
        <v>0.2</v>
      </c>
      <c r="H84" s="5">
        <v>819</v>
      </c>
      <c r="I84" s="5">
        <v>3</v>
      </c>
      <c r="J84" s="5">
        <v>0</v>
      </c>
      <c r="K84" s="5">
        <v>54.826958105646639</v>
      </c>
      <c r="L84" s="5">
        <v>33.515482695810569</v>
      </c>
      <c r="M84" s="5">
        <v>2.9143897996357016</v>
      </c>
      <c r="N84" s="5">
        <v>6.1930783242258665</v>
      </c>
      <c r="O84" s="5">
        <v>4.2190494776008096</v>
      </c>
      <c r="P84" t="s">
        <v>41</v>
      </c>
      <c r="Q84" t="s">
        <v>42</v>
      </c>
    </row>
    <row r="85" spans="1:17" x14ac:dyDescent="0.3">
      <c r="A85">
        <v>84</v>
      </c>
      <c r="B85" s="5">
        <v>85.170299999999997</v>
      </c>
      <c r="C85" s="5">
        <v>13.8277</v>
      </c>
      <c r="D85" s="5">
        <v>0</v>
      </c>
      <c r="E85" s="5">
        <v>0.2</v>
      </c>
      <c r="F85" s="5">
        <v>1.002</v>
      </c>
      <c r="G85" s="5">
        <v>0.28000000000000003</v>
      </c>
      <c r="H85" s="5">
        <v>816</v>
      </c>
      <c r="I85" s="5">
        <v>3</v>
      </c>
      <c r="J85" s="5">
        <v>0</v>
      </c>
      <c r="K85" s="5">
        <v>52.621359223300971</v>
      </c>
      <c r="L85" s="5">
        <v>39.029126213592235</v>
      </c>
      <c r="M85" s="5">
        <v>3.3009708737864076</v>
      </c>
      <c r="N85" s="5">
        <v>4.0776699029126213</v>
      </c>
      <c r="O85" s="5">
        <v>5.7178446766366209</v>
      </c>
      <c r="P85" t="s">
        <v>41</v>
      </c>
      <c r="Q85" t="s">
        <v>42</v>
      </c>
    </row>
    <row r="86" spans="1:17" x14ac:dyDescent="0.3">
      <c r="A86">
        <v>85</v>
      </c>
      <c r="B86" s="5">
        <v>85.170299999999997</v>
      </c>
      <c r="C86" s="5">
        <v>13.8277</v>
      </c>
      <c r="D86" s="5">
        <v>0</v>
      </c>
      <c r="E86" s="5">
        <v>0.2</v>
      </c>
      <c r="F86" s="5">
        <v>1.002</v>
      </c>
      <c r="G86" s="5">
        <v>0.31</v>
      </c>
      <c r="H86" s="5">
        <v>825</v>
      </c>
      <c r="I86" s="5">
        <v>3</v>
      </c>
      <c r="J86" s="5">
        <v>0</v>
      </c>
      <c r="K86" s="5">
        <v>48.289738430583505</v>
      </c>
      <c r="L86" s="5">
        <v>39.235412474849099</v>
      </c>
      <c r="M86" s="5">
        <v>6.6398390342052318</v>
      </c>
      <c r="N86" s="5">
        <v>4.0241448692152924</v>
      </c>
      <c r="O86" s="5">
        <v>6.0728742480617708</v>
      </c>
      <c r="P86" t="s">
        <v>41</v>
      </c>
      <c r="Q86" t="s">
        <v>42</v>
      </c>
    </row>
    <row r="87" spans="1:17" x14ac:dyDescent="0.3">
      <c r="A87">
        <v>86</v>
      </c>
      <c r="B87" s="5">
        <v>85.170299999999997</v>
      </c>
      <c r="C87" s="5">
        <v>13.8277</v>
      </c>
      <c r="D87" s="5">
        <v>0</v>
      </c>
      <c r="E87" s="5">
        <v>0.2</v>
      </c>
      <c r="F87" s="5">
        <v>1.002</v>
      </c>
      <c r="G87" s="5">
        <v>0.21</v>
      </c>
      <c r="H87" s="5">
        <v>825</v>
      </c>
      <c r="I87" s="5">
        <v>3</v>
      </c>
      <c r="J87" s="5">
        <v>0</v>
      </c>
      <c r="K87" s="5">
        <v>55.39568345323741</v>
      </c>
      <c r="L87" s="5">
        <v>34.172661870503596</v>
      </c>
      <c r="M87" s="5">
        <v>2.8776978417266186</v>
      </c>
      <c r="N87" s="5">
        <v>5.7553956834532372</v>
      </c>
      <c r="O87" s="5">
        <v>4.8582993984494163</v>
      </c>
      <c r="P87" t="s">
        <v>41</v>
      </c>
      <c r="Q87" t="s">
        <v>42</v>
      </c>
    </row>
    <row r="88" spans="1:17" x14ac:dyDescent="0.3">
      <c r="A88">
        <v>87</v>
      </c>
      <c r="B88" s="5">
        <v>85.170299999999997</v>
      </c>
      <c r="C88" s="5">
        <v>13.8277</v>
      </c>
      <c r="D88" s="5">
        <v>0</v>
      </c>
      <c r="E88" s="5">
        <v>0.2</v>
      </c>
      <c r="F88" s="5">
        <v>1.002</v>
      </c>
      <c r="G88" s="5">
        <v>0.28999999999999998</v>
      </c>
      <c r="H88" s="5">
        <v>850</v>
      </c>
      <c r="I88" s="5">
        <v>3</v>
      </c>
      <c r="J88" s="5">
        <v>0</v>
      </c>
      <c r="K88" s="5">
        <v>55.113636363636367</v>
      </c>
      <c r="L88" s="5">
        <v>39.583333333333336</v>
      </c>
      <c r="M88" s="5">
        <v>2.2727272727272729</v>
      </c>
      <c r="N88" s="5">
        <v>2.8409090909090913</v>
      </c>
      <c r="O88" s="5">
        <v>6.262651568313701</v>
      </c>
      <c r="P88" t="s">
        <v>41</v>
      </c>
      <c r="Q88" t="s">
        <v>42</v>
      </c>
    </row>
    <row r="89" spans="1:17" x14ac:dyDescent="0.3">
      <c r="A89">
        <v>88</v>
      </c>
      <c r="B89" s="5">
        <v>84.653999999999996</v>
      </c>
      <c r="C89" s="5">
        <v>14.0421</v>
      </c>
      <c r="D89" s="5">
        <v>0</v>
      </c>
      <c r="E89" s="5">
        <v>0.3</v>
      </c>
      <c r="F89" s="5">
        <v>1.3039000000000001</v>
      </c>
      <c r="G89" s="5">
        <v>0.23</v>
      </c>
      <c r="H89" s="5">
        <v>818</v>
      </c>
      <c r="I89" s="5">
        <v>3</v>
      </c>
      <c r="J89" s="5">
        <v>0</v>
      </c>
      <c r="K89" s="5">
        <v>56.877323420074362</v>
      </c>
      <c r="L89" s="5">
        <v>32.527881040892197</v>
      </c>
      <c r="M89" s="5">
        <v>4.2750929368029746</v>
      </c>
      <c r="N89" s="5">
        <v>5.2044609665427517</v>
      </c>
      <c r="O89" s="5">
        <v>4.9840927265732802</v>
      </c>
      <c r="P89" t="s">
        <v>43</v>
      </c>
      <c r="Q89" t="s">
        <v>42</v>
      </c>
    </row>
    <row r="90" spans="1:17" x14ac:dyDescent="0.3">
      <c r="A90">
        <v>89</v>
      </c>
      <c r="B90" s="5">
        <v>84.653999999999996</v>
      </c>
      <c r="C90" s="5">
        <v>14.0421</v>
      </c>
      <c r="D90" s="5">
        <v>0</v>
      </c>
      <c r="E90" s="5">
        <v>0.3</v>
      </c>
      <c r="F90" s="5">
        <v>1.3039000000000001</v>
      </c>
      <c r="G90" s="5">
        <v>0.27</v>
      </c>
      <c r="H90" s="5">
        <v>831</v>
      </c>
      <c r="I90" s="5">
        <v>3</v>
      </c>
      <c r="J90" s="5">
        <v>0</v>
      </c>
      <c r="K90" s="5">
        <v>52.611940298507463</v>
      </c>
      <c r="L90" s="5">
        <v>39.365671641791046</v>
      </c>
      <c r="M90" s="5">
        <v>2.7985074626865671</v>
      </c>
      <c r="N90" s="5">
        <v>4.2910447761194019</v>
      </c>
      <c r="O90" s="5">
        <v>5.9182202432245301</v>
      </c>
      <c r="P90" t="s">
        <v>43</v>
      </c>
      <c r="Q90" t="s">
        <v>42</v>
      </c>
    </row>
    <row r="91" spans="1:17" x14ac:dyDescent="0.3">
      <c r="A91">
        <v>90</v>
      </c>
      <c r="B91" s="5">
        <v>84.653999999999996</v>
      </c>
      <c r="C91" s="5">
        <v>14.0421</v>
      </c>
      <c r="D91" s="5">
        <v>0</v>
      </c>
      <c r="E91" s="5">
        <v>0.3</v>
      </c>
      <c r="F91" s="5">
        <v>1.3039000000000001</v>
      </c>
      <c r="G91" s="5">
        <v>0.24</v>
      </c>
      <c r="H91" s="5">
        <v>829</v>
      </c>
      <c r="I91" s="5">
        <v>3</v>
      </c>
      <c r="J91" s="5">
        <v>0</v>
      </c>
      <c r="K91" s="5">
        <v>54.327808471454873</v>
      </c>
      <c r="L91" s="5">
        <v>36.648250460405151</v>
      </c>
      <c r="M91" s="5">
        <v>3.1307550644567215</v>
      </c>
      <c r="N91" s="5">
        <v>4.6040515653775316</v>
      </c>
      <c r="O91" s="5">
        <v>5.2264802147956875</v>
      </c>
      <c r="P91" t="s">
        <v>43</v>
      </c>
      <c r="Q91" t="s">
        <v>42</v>
      </c>
    </row>
    <row r="92" spans="1:17" x14ac:dyDescent="0.3">
      <c r="A92">
        <v>91</v>
      </c>
      <c r="B92" s="5">
        <v>68.511099999999999</v>
      </c>
      <c r="C92" s="5">
        <v>10.2616</v>
      </c>
      <c r="D92" s="5">
        <v>14.386900000000001</v>
      </c>
      <c r="E92" s="5">
        <v>0.6</v>
      </c>
      <c r="F92" s="5">
        <v>6.7404000000000002</v>
      </c>
      <c r="G92" s="5">
        <v>0.31</v>
      </c>
      <c r="H92" s="5">
        <v>914</v>
      </c>
      <c r="I92" s="5">
        <v>3</v>
      </c>
      <c r="J92" s="5">
        <v>0</v>
      </c>
      <c r="K92" s="5">
        <v>20.952380952380953</v>
      </c>
      <c r="L92" s="5">
        <v>15.238095238095237</v>
      </c>
      <c r="M92" s="5">
        <v>36.19047619047619</v>
      </c>
      <c r="N92" s="5">
        <v>20</v>
      </c>
      <c r="O92" s="5">
        <v>3.5847631101805435</v>
      </c>
      <c r="P92" t="s">
        <v>44</v>
      </c>
      <c r="Q92" t="s">
        <v>42</v>
      </c>
    </row>
    <row r="93" spans="1:17" x14ac:dyDescent="0.3">
      <c r="A93">
        <v>92</v>
      </c>
      <c r="B93" s="5">
        <v>68.511099999999999</v>
      </c>
      <c r="C93" s="5">
        <v>10.2616</v>
      </c>
      <c r="D93" s="5">
        <v>14.386900000000001</v>
      </c>
      <c r="E93" s="5">
        <v>0.6</v>
      </c>
      <c r="F93" s="5">
        <v>6.7404000000000002</v>
      </c>
      <c r="G93" s="5">
        <v>0.25</v>
      </c>
      <c r="H93" s="5">
        <v>884</v>
      </c>
      <c r="I93" s="5">
        <v>3</v>
      </c>
      <c r="J93" s="5">
        <v>0</v>
      </c>
      <c r="K93" s="5">
        <v>22.346368715083802</v>
      </c>
      <c r="L93" s="5">
        <v>12.849162011173183</v>
      </c>
      <c r="M93" s="5">
        <v>32.402234636871512</v>
      </c>
      <c r="N93" s="5">
        <v>22.067039106145252</v>
      </c>
      <c r="O93" s="5">
        <v>3.2766975303994039</v>
      </c>
      <c r="P93" t="s">
        <v>44</v>
      </c>
      <c r="Q93" t="s">
        <v>42</v>
      </c>
    </row>
    <row r="94" spans="1:17" x14ac:dyDescent="0.3">
      <c r="A94">
        <v>93</v>
      </c>
      <c r="B94" s="5">
        <v>68.511099999999999</v>
      </c>
      <c r="C94" s="5">
        <v>10.2616</v>
      </c>
      <c r="D94" s="5">
        <v>14.386900000000001</v>
      </c>
      <c r="E94" s="5">
        <v>0.6</v>
      </c>
      <c r="F94" s="5">
        <v>6.7404000000000002</v>
      </c>
      <c r="G94" s="5">
        <v>0.22</v>
      </c>
      <c r="H94" s="5">
        <v>869</v>
      </c>
      <c r="I94" s="5">
        <v>3</v>
      </c>
      <c r="J94" s="5">
        <v>0</v>
      </c>
      <c r="K94" s="5">
        <v>20.178041543026712</v>
      </c>
      <c r="L94" s="5">
        <v>10.979228486646887</v>
      </c>
      <c r="M94" s="5">
        <v>32.937685459940667</v>
      </c>
      <c r="N94" s="5">
        <v>21.661721068249264</v>
      </c>
      <c r="O94" s="5">
        <v>2.8555098304134234</v>
      </c>
      <c r="P94" t="s">
        <v>44</v>
      </c>
      <c r="Q94" t="s">
        <v>42</v>
      </c>
    </row>
    <row r="95" spans="1:17" x14ac:dyDescent="0.3">
      <c r="A95">
        <v>94</v>
      </c>
      <c r="B95" s="5">
        <v>80.06</v>
      </c>
      <c r="C95" s="5">
        <v>13.192299999999999</v>
      </c>
      <c r="D95" s="5">
        <v>4.5321999999999996</v>
      </c>
      <c r="E95" s="5">
        <v>0.7</v>
      </c>
      <c r="F95" s="5">
        <v>1.9134</v>
      </c>
      <c r="G95" s="5">
        <v>0.27</v>
      </c>
      <c r="H95" s="5">
        <v>894</v>
      </c>
      <c r="I95" s="5">
        <v>3</v>
      </c>
      <c r="J95" s="5">
        <v>0</v>
      </c>
      <c r="K95" s="5">
        <v>25.000000000000007</v>
      </c>
      <c r="L95" s="5">
        <v>15.40697674418605</v>
      </c>
      <c r="M95" s="5">
        <v>28.488372093023266</v>
      </c>
      <c r="N95" s="5">
        <v>21.220930232558146</v>
      </c>
      <c r="O95" s="5">
        <v>3.8693534290553511</v>
      </c>
      <c r="P95" t="s">
        <v>45</v>
      </c>
      <c r="Q95" t="s">
        <v>42</v>
      </c>
    </row>
    <row r="96" spans="1:17" x14ac:dyDescent="0.3">
      <c r="A96">
        <v>95</v>
      </c>
      <c r="B96" s="5">
        <v>80.06</v>
      </c>
      <c r="C96" s="5">
        <v>13.192299999999999</v>
      </c>
      <c r="D96" s="5">
        <v>4.5321999999999996</v>
      </c>
      <c r="E96" s="5">
        <v>0.7</v>
      </c>
      <c r="F96" s="5">
        <v>1.9134</v>
      </c>
      <c r="G96" s="5">
        <v>0.24</v>
      </c>
      <c r="H96" s="5">
        <v>890</v>
      </c>
      <c r="I96" s="5">
        <v>3</v>
      </c>
      <c r="J96" s="5">
        <v>0</v>
      </c>
      <c r="K96" s="5">
        <v>24.61538461538462</v>
      </c>
      <c r="L96" s="5">
        <v>11.53846153846154</v>
      </c>
      <c r="M96" s="5">
        <v>27.948717948717952</v>
      </c>
      <c r="N96" s="5">
        <v>22.051282051282055</v>
      </c>
      <c r="O96" s="5">
        <v>3.6025266764377055</v>
      </c>
      <c r="P96" t="s">
        <v>45</v>
      </c>
      <c r="Q96" t="s">
        <v>42</v>
      </c>
    </row>
    <row r="97" spans="1:17" x14ac:dyDescent="0.3">
      <c r="A97">
        <v>96</v>
      </c>
      <c r="B97" s="5">
        <v>57.0974</v>
      </c>
      <c r="C97" s="5">
        <v>8.1568000000000005</v>
      </c>
      <c r="D97" s="5">
        <v>27.860199999999999</v>
      </c>
      <c r="E97" s="5">
        <v>5.6</v>
      </c>
      <c r="F97" s="5">
        <v>6.25</v>
      </c>
      <c r="G97" s="5">
        <v>0.26</v>
      </c>
      <c r="H97" s="5">
        <v>879</v>
      </c>
      <c r="I97" s="5">
        <v>3</v>
      </c>
      <c r="J97" s="5">
        <v>0</v>
      </c>
      <c r="K97" s="5">
        <v>22.398190045248871</v>
      </c>
      <c r="L97" s="5">
        <v>26.244343891402718</v>
      </c>
      <c r="M97" s="5">
        <v>32.352941176470594</v>
      </c>
      <c r="N97" s="5">
        <v>14.253393665158372</v>
      </c>
      <c r="O97" s="5">
        <v>2.7556041552761075</v>
      </c>
      <c r="P97" t="s">
        <v>46</v>
      </c>
      <c r="Q97" t="s">
        <v>42</v>
      </c>
    </row>
    <row r="98" spans="1:17" x14ac:dyDescent="0.3">
      <c r="A98">
        <v>97</v>
      </c>
      <c r="B98" s="5">
        <v>57.0974</v>
      </c>
      <c r="C98" s="5">
        <v>8.1568000000000005</v>
      </c>
      <c r="D98" s="5">
        <v>27.860199999999999</v>
      </c>
      <c r="E98" s="5">
        <v>5.6</v>
      </c>
      <c r="F98" s="5">
        <v>6.25</v>
      </c>
      <c r="G98" s="5">
        <v>0.31</v>
      </c>
      <c r="H98" s="5">
        <v>915</v>
      </c>
      <c r="I98" s="5">
        <v>3</v>
      </c>
      <c r="J98" s="5">
        <v>0</v>
      </c>
      <c r="K98" s="5">
        <v>20.101781170483459</v>
      </c>
      <c r="L98" s="5">
        <v>27.735368956742999</v>
      </c>
      <c r="M98" s="5">
        <v>35.877862595419842</v>
      </c>
      <c r="N98" s="5">
        <v>12.468193384223918</v>
      </c>
      <c r="O98" s="5">
        <v>3.0915254237288132</v>
      </c>
      <c r="P98" t="s">
        <v>46</v>
      </c>
      <c r="Q98" t="s">
        <v>42</v>
      </c>
    </row>
    <row r="99" spans="1:17" x14ac:dyDescent="0.3">
      <c r="A99">
        <v>98</v>
      </c>
      <c r="B99">
        <v>57.9</v>
      </c>
      <c r="C99" s="5">
        <v>8.4608000000000008</v>
      </c>
      <c r="D99" s="5">
        <v>16</v>
      </c>
      <c r="E99" s="5">
        <v>1.9</v>
      </c>
      <c r="F99" s="5">
        <v>16.5138</v>
      </c>
      <c r="G99" s="5">
        <v>0.34</v>
      </c>
      <c r="H99" s="5">
        <v>899</v>
      </c>
      <c r="I99" s="5">
        <v>3</v>
      </c>
      <c r="J99" s="5">
        <v>0</v>
      </c>
      <c r="K99" s="5">
        <v>16.71388101983003</v>
      </c>
      <c r="L99" s="5">
        <v>21.52974504249292</v>
      </c>
      <c r="M99" s="5">
        <v>37.960339943342781</v>
      </c>
      <c r="N99" s="5">
        <v>18.696883852691219</v>
      </c>
      <c r="O99" s="5">
        <v>3.0431121399317238</v>
      </c>
      <c r="P99" t="s">
        <v>36</v>
      </c>
      <c r="Q99" t="s">
        <v>42</v>
      </c>
    </row>
    <row r="100" spans="1:17" x14ac:dyDescent="0.3">
      <c r="A100">
        <v>99</v>
      </c>
      <c r="B100">
        <v>57.9</v>
      </c>
      <c r="C100" s="5">
        <v>8.4608000000000008</v>
      </c>
      <c r="D100" s="5">
        <v>16</v>
      </c>
      <c r="E100" s="5">
        <v>1.9</v>
      </c>
      <c r="F100" s="5">
        <v>16.5138</v>
      </c>
      <c r="G100" s="5">
        <v>0.28000000000000003</v>
      </c>
      <c r="H100" s="5">
        <v>896</v>
      </c>
      <c r="I100" s="5">
        <v>3</v>
      </c>
      <c r="J100" s="5">
        <v>0</v>
      </c>
      <c r="K100" s="5">
        <v>20.95490716180371</v>
      </c>
      <c r="L100" s="5">
        <v>23.076923076923073</v>
      </c>
      <c r="M100" s="5">
        <v>32.625994694960212</v>
      </c>
      <c r="N100" s="5">
        <v>18.567639257294427</v>
      </c>
      <c r="O100" s="5">
        <v>2.6990565763526977</v>
      </c>
      <c r="P100" t="s">
        <v>36</v>
      </c>
      <c r="Q100" t="s">
        <v>42</v>
      </c>
    </row>
    <row r="101" spans="1:17" x14ac:dyDescent="0.3">
      <c r="A101">
        <v>100</v>
      </c>
      <c r="B101">
        <v>57.9</v>
      </c>
      <c r="C101" s="5">
        <v>8.4608000000000008</v>
      </c>
      <c r="D101" s="5">
        <v>16</v>
      </c>
      <c r="E101" s="5">
        <v>1.9</v>
      </c>
      <c r="F101" s="5">
        <v>16.5138</v>
      </c>
      <c r="G101" s="5">
        <v>0.23</v>
      </c>
      <c r="H101" s="5">
        <v>869</v>
      </c>
      <c r="I101" s="5">
        <v>3</v>
      </c>
      <c r="J101" s="5">
        <v>0</v>
      </c>
      <c r="K101" s="5">
        <v>21.852731591448933</v>
      </c>
      <c r="L101" s="5">
        <v>21.615201900237533</v>
      </c>
      <c r="M101" s="5">
        <v>30.403800475059388</v>
      </c>
      <c r="N101" s="5">
        <v>19.714964370546323</v>
      </c>
      <c r="O101" s="5">
        <v>2.3570643145042816</v>
      </c>
      <c r="P101" t="s">
        <v>36</v>
      </c>
      <c r="Q101" t="s">
        <v>42</v>
      </c>
    </row>
    <row r="102" spans="1:17" x14ac:dyDescent="0.3">
      <c r="A102">
        <v>101</v>
      </c>
      <c r="B102" s="5">
        <v>29.5</v>
      </c>
      <c r="C102" s="5">
        <v>4.9000000000000004</v>
      </c>
      <c r="D102" s="5">
        <v>15</v>
      </c>
      <c r="E102" s="5">
        <v>8.6999999999999993</v>
      </c>
      <c r="F102" s="5">
        <v>41.7</v>
      </c>
      <c r="G102" s="5">
        <v>0.3</v>
      </c>
      <c r="H102" s="5">
        <v>800</v>
      </c>
      <c r="I102" s="5">
        <v>1</v>
      </c>
      <c r="J102" s="5">
        <v>0</v>
      </c>
      <c r="K102" s="5">
        <v>25.432098765432098</v>
      </c>
      <c r="L102" s="5">
        <v>22.222222222222221</v>
      </c>
      <c r="M102" s="5">
        <v>33.580246913580247</v>
      </c>
      <c r="N102" s="5">
        <v>8.1481481481481488</v>
      </c>
      <c r="O102" s="5">
        <v>2.8</v>
      </c>
      <c r="P102" t="s">
        <v>47</v>
      </c>
      <c r="Q102" t="s">
        <v>48</v>
      </c>
    </row>
    <row r="103" spans="1:17" x14ac:dyDescent="0.3">
      <c r="A103">
        <v>102</v>
      </c>
      <c r="B103" s="5">
        <v>29.5</v>
      </c>
      <c r="C103" s="5">
        <v>4.9000000000000004</v>
      </c>
      <c r="D103" s="5">
        <v>15</v>
      </c>
      <c r="E103" s="5">
        <v>8.6999999999999993</v>
      </c>
      <c r="F103" s="5">
        <v>41.7</v>
      </c>
      <c r="G103" s="5">
        <v>0.3</v>
      </c>
      <c r="H103" s="5">
        <v>800</v>
      </c>
      <c r="I103" s="5">
        <v>1</v>
      </c>
      <c r="J103" s="5">
        <v>0</v>
      </c>
      <c r="K103" s="5">
        <v>26.098901098901099</v>
      </c>
      <c r="L103" s="5">
        <v>20.604395604395606</v>
      </c>
      <c r="M103" s="5">
        <v>36.263736263736263</v>
      </c>
      <c r="N103" s="5">
        <v>7.1428571428571432</v>
      </c>
      <c r="O103" s="5">
        <v>2.8</v>
      </c>
      <c r="P103" t="s">
        <v>47</v>
      </c>
      <c r="Q103" t="s">
        <v>48</v>
      </c>
    </row>
    <row r="104" spans="1:17" x14ac:dyDescent="0.3">
      <c r="A104">
        <v>103</v>
      </c>
      <c r="B104" s="5">
        <v>29.5</v>
      </c>
      <c r="C104" s="5">
        <v>4.9000000000000004</v>
      </c>
      <c r="D104" s="5">
        <v>15</v>
      </c>
      <c r="E104" s="5">
        <v>8.6999999999999993</v>
      </c>
      <c r="F104" s="5">
        <v>41.7</v>
      </c>
      <c r="G104" s="5">
        <v>0.3</v>
      </c>
      <c r="H104" s="5">
        <v>800</v>
      </c>
      <c r="I104" s="5">
        <v>1</v>
      </c>
      <c r="J104" s="5">
        <v>0</v>
      </c>
      <c r="K104" s="5">
        <v>23.160762942779289</v>
      </c>
      <c r="L104" s="5">
        <v>22.343324250681196</v>
      </c>
      <c r="M104" s="5">
        <v>36.51226158038147</v>
      </c>
      <c r="N104" s="5">
        <v>8.1743869209809255</v>
      </c>
      <c r="O104" s="5">
        <v>2.7</v>
      </c>
      <c r="P104" t="s">
        <v>47</v>
      </c>
      <c r="Q104" t="s">
        <v>48</v>
      </c>
    </row>
    <row r="105" spans="1:17" x14ac:dyDescent="0.3">
      <c r="A105">
        <v>104</v>
      </c>
      <c r="B105" s="5">
        <v>29.5</v>
      </c>
      <c r="C105" s="5">
        <v>4.9000000000000004</v>
      </c>
      <c r="D105" s="5">
        <v>15</v>
      </c>
      <c r="E105" s="5">
        <v>8.6999999999999993</v>
      </c>
      <c r="F105" s="5">
        <v>41.7</v>
      </c>
      <c r="G105" s="5">
        <v>0.3</v>
      </c>
      <c r="H105" s="5">
        <v>800</v>
      </c>
      <c r="I105" s="5">
        <v>1</v>
      </c>
      <c r="J105" s="5">
        <v>1</v>
      </c>
      <c r="K105" s="5">
        <v>28.17258883248731</v>
      </c>
      <c r="L105" s="5">
        <v>17.00507614213198</v>
      </c>
      <c r="M105" s="5">
        <v>34.771573604060912</v>
      </c>
      <c r="N105" s="5">
        <v>7.8680203045685282</v>
      </c>
      <c r="O105" s="5">
        <v>2.9</v>
      </c>
      <c r="P105" t="s">
        <v>47</v>
      </c>
      <c r="Q105" t="s">
        <v>48</v>
      </c>
    </row>
    <row r="106" spans="1:17" x14ac:dyDescent="0.3">
      <c r="A106">
        <v>105</v>
      </c>
      <c r="B106" s="5">
        <v>29.5</v>
      </c>
      <c r="C106" s="5">
        <v>4.9000000000000004</v>
      </c>
      <c r="D106" s="5">
        <v>15</v>
      </c>
      <c r="E106" s="5">
        <v>8.6999999999999993</v>
      </c>
      <c r="F106" s="5">
        <v>41.7</v>
      </c>
      <c r="G106" s="5">
        <v>0.3</v>
      </c>
      <c r="H106" s="5">
        <v>800</v>
      </c>
      <c r="I106" s="5">
        <v>1</v>
      </c>
      <c r="J106" s="5">
        <v>1</v>
      </c>
      <c r="K106" s="5">
        <v>26.648351648351646</v>
      </c>
      <c r="L106" s="5">
        <v>16.758241758241759</v>
      </c>
      <c r="M106" s="5">
        <v>36.263736263736263</v>
      </c>
      <c r="N106" s="5">
        <v>6.8681318681318686</v>
      </c>
      <c r="O106" s="5">
        <v>2.9</v>
      </c>
      <c r="P106" t="s">
        <v>47</v>
      </c>
      <c r="Q106" t="s">
        <v>48</v>
      </c>
    </row>
    <row r="107" spans="1:17" x14ac:dyDescent="0.3">
      <c r="A107">
        <v>106</v>
      </c>
      <c r="B107" s="5">
        <v>29.5</v>
      </c>
      <c r="C107" s="5">
        <v>4.9000000000000004</v>
      </c>
      <c r="D107" s="5">
        <v>15</v>
      </c>
      <c r="E107" s="5">
        <v>8.6999999999999993</v>
      </c>
      <c r="F107" s="5">
        <v>41.7</v>
      </c>
      <c r="G107" s="5">
        <v>0.3</v>
      </c>
      <c r="H107" s="5">
        <v>800</v>
      </c>
      <c r="I107" s="5">
        <v>1</v>
      </c>
      <c r="J107" s="5">
        <v>1</v>
      </c>
      <c r="K107" s="5">
        <v>24.450549450549453</v>
      </c>
      <c r="L107" s="5">
        <v>21.153846153846153</v>
      </c>
      <c r="M107" s="5">
        <v>38.18681318681319</v>
      </c>
      <c r="N107" s="5">
        <v>6.3186813186813184</v>
      </c>
      <c r="O107" s="5">
        <v>3</v>
      </c>
      <c r="P107" t="s">
        <v>47</v>
      </c>
      <c r="Q107" t="s">
        <v>48</v>
      </c>
    </row>
    <row r="108" spans="1:17" x14ac:dyDescent="0.3">
      <c r="A108">
        <v>107</v>
      </c>
      <c r="B108">
        <v>27.3</v>
      </c>
      <c r="C108" s="5">
        <v>4.8</v>
      </c>
      <c r="D108" s="5">
        <v>18.899999999999999</v>
      </c>
      <c r="E108" s="5">
        <v>7</v>
      </c>
      <c r="F108" s="5">
        <v>44</v>
      </c>
      <c r="G108" s="5">
        <v>0.3</v>
      </c>
      <c r="H108" s="5">
        <v>750</v>
      </c>
      <c r="I108" s="5">
        <v>1</v>
      </c>
      <c r="J108" s="5">
        <v>0</v>
      </c>
      <c r="K108" s="5">
        <v>21.776504297994265</v>
      </c>
      <c r="L108" s="5">
        <v>19.770773638968478</v>
      </c>
      <c r="M108" s="5">
        <v>40.401146131805149</v>
      </c>
      <c r="N108" s="5">
        <v>7.7363896848137523</v>
      </c>
      <c r="O108" s="5">
        <v>2.5</v>
      </c>
      <c r="P108" t="s">
        <v>47</v>
      </c>
      <c r="Q108" t="s">
        <v>49</v>
      </c>
    </row>
    <row r="109" spans="1:17" x14ac:dyDescent="0.3">
      <c r="A109">
        <v>108</v>
      </c>
      <c r="B109">
        <v>27.3</v>
      </c>
      <c r="C109" s="5">
        <v>4.8</v>
      </c>
      <c r="D109" s="5">
        <v>18.899999999999999</v>
      </c>
      <c r="E109" s="5">
        <v>7</v>
      </c>
      <c r="F109" s="5">
        <v>44</v>
      </c>
      <c r="G109" s="5">
        <v>0.3</v>
      </c>
      <c r="H109" s="5">
        <v>800</v>
      </c>
      <c r="I109" s="5">
        <v>1</v>
      </c>
      <c r="J109" s="5">
        <v>0</v>
      </c>
      <c r="K109" s="5">
        <v>26.530612244897956</v>
      </c>
      <c r="L109" s="5">
        <v>20.408163265306122</v>
      </c>
      <c r="M109" s="5">
        <v>35.969387755102041</v>
      </c>
      <c r="N109" s="5">
        <v>7.6530612244897958</v>
      </c>
      <c r="O109" s="5">
        <v>2.5</v>
      </c>
      <c r="P109" t="s">
        <v>47</v>
      </c>
      <c r="Q109" t="s">
        <v>49</v>
      </c>
    </row>
    <row r="110" spans="1:17" x14ac:dyDescent="0.3">
      <c r="A110">
        <v>109</v>
      </c>
      <c r="B110">
        <v>27.3</v>
      </c>
      <c r="C110" s="5">
        <v>4.8</v>
      </c>
      <c r="D110" s="5">
        <v>18.899999999999999</v>
      </c>
      <c r="E110" s="5">
        <v>7</v>
      </c>
      <c r="F110" s="5">
        <v>44</v>
      </c>
      <c r="G110" s="5">
        <v>0.3</v>
      </c>
      <c r="H110" s="5">
        <v>850</v>
      </c>
      <c r="I110" s="5">
        <v>1</v>
      </c>
      <c r="J110" s="5">
        <v>0</v>
      </c>
      <c r="K110" s="5">
        <v>28.605200945626478</v>
      </c>
      <c r="L110" s="5">
        <v>23.877068557919625</v>
      </c>
      <c r="M110" s="5">
        <v>30.969267139479907</v>
      </c>
      <c r="N110" s="5">
        <v>7.8014184397163122</v>
      </c>
      <c r="O110" s="5">
        <v>2.6</v>
      </c>
      <c r="P110" t="s">
        <v>47</v>
      </c>
      <c r="Q110" t="s">
        <v>49</v>
      </c>
    </row>
    <row r="111" spans="1:17" x14ac:dyDescent="0.3">
      <c r="A111">
        <v>110</v>
      </c>
      <c r="B111">
        <v>27.3</v>
      </c>
      <c r="C111" s="5">
        <v>4.8</v>
      </c>
      <c r="D111" s="5">
        <v>18.899999999999999</v>
      </c>
      <c r="E111" s="5">
        <v>7</v>
      </c>
      <c r="F111" s="5">
        <v>44</v>
      </c>
      <c r="G111" s="5">
        <v>0.2</v>
      </c>
      <c r="H111" s="5">
        <v>750</v>
      </c>
      <c r="I111" s="5">
        <v>1</v>
      </c>
      <c r="J111" s="5">
        <v>0</v>
      </c>
      <c r="K111" s="5">
        <v>25.063938618925832</v>
      </c>
      <c r="L111" s="5">
        <v>18.414322250639387</v>
      </c>
      <c r="M111" s="5">
        <v>36.31713554987212</v>
      </c>
      <c r="N111" s="5">
        <v>9.4629156010230169</v>
      </c>
      <c r="O111" s="5">
        <v>1.9</v>
      </c>
      <c r="P111" t="s">
        <v>47</v>
      </c>
      <c r="Q111" t="s">
        <v>50</v>
      </c>
    </row>
    <row r="112" spans="1:17" x14ac:dyDescent="0.3">
      <c r="A112">
        <v>111</v>
      </c>
      <c r="B112">
        <v>27.3</v>
      </c>
      <c r="C112" s="5">
        <v>4.8</v>
      </c>
      <c r="D112" s="5">
        <v>18.899999999999999</v>
      </c>
      <c r="E112" s="5">
        <v>7</v>
      </c>
      <c r="F112" s="5">
        <v>44</v>
      </c>
      <c r="G112" s="5">
        <v>0.2</v>
      </c>
      <c r="H112" s="5">
        <v>800</v>
      </c>
      <c r="I112" s="5">
        <v>1</v>
      </c>
      <c r="J112" s="5">
        <v>0</v>
      </c>
      <c r="K112" s="5">
        <v>29.288702928870293</v>
      </c>
      <c r="L112" s="5">
        <v>22.384937238493727</v>
      </c>
      <c r="M112" s="5">
        <v>28.451882845188287</v>
      </c>
      <c r="N112" s="5">
        <v>10.251046025104605</v>
      </c>
      <c r="O112" s="5">
        <v>2</v>
      </c>
      <c r="P112" t="s">
        <v>47</v>
      </c>
      <c r="Q112" t="s">
        <v>50</v>
      </c>
    </row>
    <row r="113" spans="1:17" x14ac:dyDescent="0.3">
      <c r="A113">
        <v>112</v>
      </c>
      <c r="B113">
        <v>27.3</v>
      </c>
      <c r="C113" s="5">
        <v>4.8</v>
      </c>
      <c r="D113" s="5">
        <v>18.899999999999999</v>
      </c>
      <c r="E113" s="5">
        <v>7</v>
      </c>
      <c r="F113" s="5">
        <v>44</v>
      </c>
      <c r="G113" s="5">
        <v>0.2</v>
      </c>
      <c r="H113" s="5">
        <v>850</v>
      </c>
      <c r="I113" s="5">
        <v>1</v>
      </c>
      <c r="J113" s="5">
        <v>0</v>
      </c>
      <c r="K113" s="5">
        <v>31.357552581261949</v>
      </c>
      <c r="L113" s="5">
        <v>24.091778202676867</v>
      </c>
      <c r="M113" s="5">
        <v>24.856596558317403</v>
      </c>
      <c r="N113" s="5">
        <v>10.89866156787763</v>
      </c>
      <c r="O113" s="5">
        <v>2</v>
      </c>
      <c r="P113" t="s">
        <v>47</v>
      </c>
      <c r="Q113" t="s">
        <v>50</v>
      </c>
    </row>
    <row r="114" spans="1:17" x14ac:dyDescent="0.3">
      <c r="A114">
        <v>113</v>
      </c>
      <c r="B114">
        <v>27.3</v>
      </c>
      <c r="C114" s="5">
        <v>4.8</v>
      </c>
      <c r="D114" s="5">
        <v>18.899999999999999</v>
      </c>
      <c r="E114" s="5">
        <v>7</v>
      </c>
      <c r="F114" s="5">
        <v>44</v>
      </c>
      <c r="G114" s="5">
        <v>0.3</v>
      </c>
      <c r="H114" s="5">
        <v>750</v>
      </c>
      <c r="I114" s="5">
        <v>1</v>
      </c>
      <c r="J114" s="5">
        <v>0</v>
      </c>
      <c r="K114" s="5">
        <v>21.776504297994265</v>
      </c>
      <c r="L114" s="5">
        <v>19.770773638968478</v>
      </c>
      <c r="M114" s="5">
        <v>40.401146131805149</v>
      </c>
      <c r="N114" s="5">
        <v>7.7363896848137523</v>
      </c>
      <c r="O114" s="5">
        <v>2.5</v>
      </c>
      <c r="P114" t="s">
        <v>47</v>
      </c>
      <c r="Q114" t="s">
        <v>50</v>
      </c>
    </row>
    <row r="115" spans="1:17" x14ac:dyDescent="0.3">
      <c r="A115">
        <v>114</v>
      </c>
      <c r="B115">
        <v>27.3</v>
      </c>
      <c r="C115" s="5">
        <v>4.8</v>
      </c>
      <c r="D115" s="5">
        <v>18.899999999999999</v>
      </c>
      <c r="E115" s="5">
        <v>7</v>
      </c>
      <c r="F115" s="5">
        <v>44</v>
      </c>
      <c r="G115" s="5">
        <v>0.3</v>
      </c>
      <c r="H115" s="5">
        <v>800</v>
      </c>
      <c r="I115" s="5">
        <v>1</v>
      </c>
      <c r="J115" s="5">
        <v>0</v>
      </c>
      <c r="K115" s="5">
        <v>26.530612244897956</v>
      </c>
      <c r="L115" s="5">
        <v>20.408163265306122</v>
      </c>
      <c r="M115" s="5">
        <v>35.969387755102041</v>
      </c>
      <c r="N115" s="5">
        <v>7.6530612244897958</v>
      </c>
      <c r="O115" s="5">
        <v>2.5</v>
      </c>
      <c r="P115" t="s">
        <v>47</v>
      </c>
      <c r="Q115" t="s">
        <v>50</v>
      </c>
    </row>
    <row r="116" spans="1:17" x14ac:dyDescent="0.3">
      <c r="A116">
        <v>115</v>
      </c>
      <c r="B116">
        <v>27.3</v>
      </c>
      <c r="C116" s="5">
        <v>4.8</v>
      </c>
      <c r="D116" s="5">
        <v>18.899999999999999</v>
      </c>
      <c r="E116" s="5">
        <v>7</v>
      </c>
      <c r="F116" s="5">
        <v>44</v>
      </c>
      <c r="G116" s="5">
        <v>0.3</v>
      </c>
      <c r="H116" s="5">
        <v>850</v>
      </c>
      <c r="I116" s="5">
        <v>1</v>
      </c>
      <c r="J116" s="5">
        <v>0</v>
      </c>
      <c r="K116" s="5">
        <v>2.6004728132387713</v>
      </c>
      <c r="L116" s="5">
        <v>23.877068557919625</v>
      </c>
      <c r="M116" s="5">
        <v>30.969267139479907</v>
      </c>
      <c r="N116" s="5">
        <v>7.8014184397163122</v>
      </c>
      <c r="O116" s="5">
        <v>2.6</v>
      </c>
      <c r="P116" t="s">
        <v>47</v>
      </c>
      <c r="Q116" t="s">
        <v>50</v>
      </c>
    </row>
    <row r="117" spans="1:17" x14ac:dyDescent="0.3">
      <c r="A117">
        <v>116</v>
      </c>
      <c r="B117">
        <v>27.3</v>
      </c>
      <c r="C117" s="5">
        <v>4.8</v>
      </c>
      <c r="D117" s="5">
        <v>18.899999999999999</v>
      </c>
      <c r="E117" s="5">
        <v>7</v>
      </c>
      <c r="F117" s="5">
        <v>44</v>
      </c>
      <c r="G117" s="5">
        <v>0.4</v>
      </c>
      <c r="H117" s="5">
        <v>750</v>
      </c>
      <c r="I117" s="5">
        <v>1</v>
      </c>
      <c r="J117" s="5">
        <v>0</v>
      </c>
      <c r="K117" s="5">
        <v>12.749003984063748</v>
      </c>
      <c r="L117" s="5">
        <v>17.13147410358566</v>
      </c>
      <c r="M117" s="5">
        <v>56.175298804780887</v>
      </c>
      <c r="N117" s="5">
        <v>3.9840637450199212</v>
      </c>
      <c r="O117" s="5">
        <v>2.9</v>
      </c>
      <c r="P117" t="s">
        <v>47</v>
      </c>
      <c r="Q117" t="s">
        <v>50</v>
      </c>
    </row>
    <row r="118" spans="1:17" x14ac:dyDescent="0.3">
      <c r="A118">
        <v>117</v>
      </c>
      <c r="B118">
        <v>27.3</v>
      </c>
      <c r="C118" s="5">
        <v>4.8</v>
      </c>
      <c r="D118" s="5">
        <v>18.899999999999999</v>
      </c>
      <c r="E118" s="5">
        <v>7</v>
      </c>
      <c r="F118" s="5">
        <v>44</v>
      </c>
      <c r="G118" s="5">
        <v>0.4</v>
      </c>
      <c r="H118" s="5">
        <v>800</v>
      </c>
      <c r="I118" s="5">
        <v>1</v>
      </c>
      <c r="J118" s="5">
        <v>0</v>
      </c>
      <c r="K118" s="5">
        <v>24.495677233429394</v>
      </c>
      <c r="L118" s="5">
        <v>19.884726224783861</v>
      </c>
      <c r="M118" s="5">
        <v>39.769452449567723</v>
      </c>
      <c r="N118" s="5">
        <v>6.9164265129682994</v>
      </c>
      <c r="O118" s="5">
        <v>3.1</v>
      </c>
      <c r="P118" t="s">
        <v>47</v>
      </c>
      <c r="Q118" t="s">
        <v>50</v>
      </c>
    </row>
    <row r="119" spans="1:17" x14ac:dyDescent="0.3">
      <c r="A119">
        <v>118</v>
      </c>
      <c r="B119">
        <v>27.3</v>
      </c>
      <c r="C119" s="5">
        <v>4.8</v>
      </c>
      <c r="D119" s="5">
        <v>18.899999999999999</v>
      </c>
      <c r="E119" s="5">
        <v>7</v>
      </c>
      <c r="F119" s="5">
        <v>44</v>
      </c>
      <c r="G119" s="5">
        <v>0.4</v>
      </c>
      <c r="H119" s="5">
        <v>850</v>
      </c>
      <c r="I119" s="5">
        <v>1</v>
      </c>
      <c r="J119" s="5">
        <v>0</v>
      </c>
      <c r="K119" s="5">
        <v>26.430517711171657</v>
      </c>
      <c r="L119" s="5">
        <v>22.343324250681196</v>
      </c>
      <c r="M119" s="5">
        <v>37.602179836512256</v>
      </c>
      <c r="N119" s="5">
        <v>5.7220708446866482</v>
      </c>
      <c r="O119" s="5">
        <v>3.1</v>
      </c>
      <c r="P119" t="s">
        <v>47</v>
      </c>
      <c r="Q119" t="s">
        <v>50</v>
      </c>
    </row>
    <row r="120" spans="1:17" x14ac:dyDescent="0.3">
      <c r="A120">
        <v>119</v>
      </c>
      <c r="B120">
        <v>27.3</v>
      </c>
      <c r="C120" s="5">
        <v>4.8</v>
      </c>
      <c r="D120" s="5">
        <v>18.899999999999999</v>
      </c>
      <c r="E120" s="5">
        <v>7</v>
      </c>
      <c r="F120" s="5">
        <v>44</v>
      </c>
      <c r="G120" s="5">
        <v>0.3</v>
      </c>
      <c r="H120" s="5">
        <v>750</v>
      </c>
      <c r="I120" s="5">
        <v>1</v>
      </c>
      <c r="J120" s="5">
        <v>0.5</v>
      </c>
      <c r="K120" s="5">
        <v>25.255102040816325</v>
      </c>
      <c r="L120" s="5">
        <v>19.642857142857142</v>
      </c>
      <c r="M120" s="5">
        <v>37.755102040816325</v>
      </c>
      <c r="N120" s="5">
        <v>7.1428571428571423</v>
      </c>
      <c r="O120" s="5">
        <v>2.4</v>
      </c>
      <c r="P120" t="s">
        <v>47</v>
      </c>
      <c r="Q120" t="s">
        <v>50</v>
      </c>
    </row>
    <row r="121" spans="1:17" x14ac:dyDescent="0.3">
      <c r="A121">
        <v>120</v>
      </c>
      <c r="B121">
        <v>27.3</v>
      </c>
      <c r="C121" s="5">
        <v>4.8</v>
      </c>
      <c r="D121" s="5">
        <v>18.899999999999999</v>
      </c>
      <c r="E121" s="5">
        <v>7</v>
      </c>
      <c r="F121" s="5">
        <v>44</v>
      </c>
      <c r="G121" s="5">
        <v>0.3</v>
      </c>
      <c r="H121" s="5">
        <v>800</v>
      </c>
      <c r="I121" s="5">
        <v>1</v>
      </c>
      <c r="J121" s="5">
        <v>0.5</v>
      </c>
      <c r="K121" s="5">
        <v>26.96078431372549</v>
      </c>
      <c r="L121" s="5">
        <v>20.588235294117649</v>
      </c>
      <c r="M121" s="5">
        <v>36.274509803921568</v>
      </c>
      <c r="N121" s="5">
        <v>7.598039215686275</v>
      </c>
      <c r="O121" s="5">
        <v>2.6</v>
      </c>
      <c r="P121" t="s">
        <v>47</v>
      </c>
      <c r="Q121" t="s">
        <v>50</v>
      </c>
    </row>
    <row r="122" spans="1:17" x14ac:dyDescent="0.3">
      <c r="A122">
        <v>121</v>
      </c>
      <c r="B122">
        <v>27.3</v>
      </c>
      <c r="C122" s="5">
        <v>4.8</v>
      </c>
      <c r="D122" s="5">
        <v>18.899999999999999</v>
      </c>
      <c r="E122" s="5">
        <v>7</v>
      </c>
      <c r="F122" s="5">
        <v>44</v>
      </c>
      <c r="G122" s="5">
        <v>0.3</v>
      </c>
      <c r="H122" s="5">
        <v>850</v>
      </c>
      <c r="I122" s="5">
        <v>1</v>
      </c>
      <c r="J122" s="5">
        <v>0.5</v>
      </c>
      <c r="K122" s="5">
        <v>33.549783549783548</v>
      </c>
      <c r="L122" s="5">
        <v>22.510822510822511</v>
      </c>
      <c r="M122" s="5">
        <v>30.519480519480517</v>
      </c>
      <c r="N122" s="5">
        <v>6.9264069264069263</v>
      </c>
      <c r="O122" s="5">
        <v>2.8</v>
      </c>
      <c r="P122" t="s">
        <v>47</v>
      </c>
      <c r="Q122" t="s">
        <v>50</v>
      </c>
    </row>
    <row r="123" spans="1:17" x14ac:dyDescent="0.3">
      <c r="A123">
        <v>122</v>
      </c>
      <c r="B123">
        <v>27.3</v>
      </c>
      <c r="C123" s="5">
        <v>4.8</v>
      </c>
      <c r="D123" s="5">
        <v>18.899999999999999</v>
      </c>
      <c r="E123" s="5">
        <v>7</v>
      </c>
      <c r="F123" s="5">
        <v>44</v>
      </c>
      <c r="G123" s="5">
        <v>0.3</v>
      </c>
      <c r="H123" s="5">
        <v>750</v>
      </c>
      <c r="I123" s="5">
        <v>1</v>
      </c>
      <c r="J123" s="5">
        <v>1</v>
      </c>
      <c r="K123" s="5">
        <v>25.252525252525253</v>
      </c>
      <c r="L123" s="5">
        <v>19.696969696969695</v>
      </c>
      <c r="M123" s="5">
        <v>39.393939393939391</v>
      </c>
      <c r="N123" s="5">
        <v>7.3232323232323226</v>
      </c>
      <c r="O123" s="5">
        <v>2.5</v>
      </c>
      <c r="P123" t="s">
        <v>47</v>
      </c>
      <c r="Q123" t="s">
        <v>50</v>
      </c>
    </row>
    <row r="124" spans="1:17" x14ac:dyDescent="0.3">
      <c r="A124">
        <v>123</v>
      </c>
      <c r="B124">
        <v>27.3</v>
      </c>
      <c r="C124" s="5">
        <v>4.8</v>
      </c>
      <c r="D124" s="5">
        <v>18.899999999999999</v>
      </c>
      <c r="E124" s="5">
        <v>7</v>
      </c>
      <c r="F124" s="5">
        <v>44</v>
      </c>
      <c r="G124" s="5">
        <v>0.3</v>
      </c>
      <c r="H124" s="5">
        <v>800</v>
      </c>
      <c r="I124" s="5">
        <v>1</v>
      </c>
      <c r="J124" s="5">
        <v>1</v>
      </c>
      <c r="K124" s="5">
        <v>28.91566265060241</v>
      </c>
      <c r="L124" s="5">
        <v>20.722891566265059</v>
      </c>
      <c r="M124" s="5">
        <v>36.626506024096386</v>
      </c>
      <c r="N124" s="5">
        <v>6.5060240963855422</v>
      </c>
      <c r="O124" s="5">
        <v>2.6</v>
      </c>
      <c r="P124" t="s">
        <v>47</v>
      </c>
      <c r="Q124" t="s">
        <v>50</v>
      </c>
    </row>
    <row r="125" spans="1:17" x14ac:dyDescent="0.3">
      <c r="A125">
        <v>124</v>
      </c>
      <c r="B125">
        <v>27.3</v>
      </c>
      <c r="C125" s="5">
        <v>4.8</v>
      </c>
      <c r="D125" s="5">
        <v>18.899999999999999</v>
      </c>
      <c r="E125" s="5">
        <v>7</v>
      </c>
      <c r="F125" s="5">
        <v>44</v>
      </c>
      <c r="G125" s="5">
        <v>0.3</v>
      </c>
      <c r="H125" s="5">
        <v>850</v>
      </c>
      <c r="I125" s="5">
        <v>1</v>
      </c>
      <c r="J125" s="5">
        <v>1</v>
      </c>
      <c r="K125" s="5">
        <v>34.32835820895523</v>
      </c>
      <c r="L125" s="5">
        <v>21.535181236673775</v>
      </c>
      <c r="M125" s="5">
        <v>31.343283582089555</v>
      </c>
      <c r="N125" s="5">
        <v>6.3965884861407254</v>
      </c>
      <c r="O125" s="5">
        <v>2.8</v>
      </c>
      <c r="P125" t="s">
        <v>47</v>
      </c>
      <c r="Q125" t="s">
        <v>50</v>
      </c>
    </row>
    <row r="126" spans="1:17" x14ac:dyDescent="0.3">
      <c r="A126">
        <v>125</v>
      </c>
      <c r="B126">
        <v>46.85</v>
      </c>
      <c r="C126" s="5">
        <v>6.0905000000000005</v>
      </c>
      <c r="D126" s="5">
        <v>34.013100000000001</v>
      </c>
      <c r="E126" s="5">
        <v>7.6</v>
      </c>
      <c r="F126" s="5">
        <v>6.3</v>
      </c>
      <c r="G126" s="5">
        <v>0.17</v>
      </c>
      <c r="H126" s="5">
        <v>700</v>
      </c>
      <c r="I126" s="5">
        <v>2</v>
      </c>
      <c r="J126" s="5">
        <v>0</v>
      </c>
      <c r="K126" s="5">
        <v>24</v>
      </c>
      <c r="L126" s="5">
        <v>28</v>
      </c>
      <c r="M126" s="5">
        <v>36</v>
      </c>
      <c r="N126" s="5">
        <v>12</v>
      </c>
      <c r="O126" s="5">
        <v>1.4916221655053796</v>
      </c>
      <c r="P126" t="s">
        <v>31</v>
      </c>
      <c r="Q126" t="s">
        <v>51</v>
      </c>
    </row>
    <row r="127" spans="1:17" x14ac:dyDescent="0.3">
      <c r="A127">
        <v>126</v>
      </c>
      <c r="B127">
        <v>46.85</v>
      </c>
      <c r="C127" s="5">
        <v>6.0905000000000005</v>
      </c>
      <c r="D127" s="5">
        <v>34.013100000000001</v>
      </c>
      <c r="E127" s="5">
        <v>7.6</v>
      </c>
      <c r="F127" s="5">
        <v>6.3</v>
      </c>
      <c r="G127" s="5">
        <v>0.2</v>
      </c>
      <c r="H127" s="5">
        <v>740</v>
      </c>
      <c r="I127" s="5">
        <v>2</v>
      </c>
      <c r="J127" s="5">
        <v>0</v>
      </c>
      <c r="K127" s="5">
        <v>23.913043478260871</v>
      </c>
      <c r="L127" s="5">
        <v>26.086956521739129</v>
      </c>
      <c r="M127" s="5">
        <v>36.956521739130437</v>
      </c>
      <c r="N127" s="5">
        <v>13.043478260869565</v>
      </c>
      <c r="O127" s="5">
        <v>1.5742456155120685</v>
      </c>
      <c r="P127" t="s">
        <v>31</v>
      </c>
      <c r="Q127" t="s">
        <v>51</v>
      </c>
    </row>
    <row r="128" spans="1:17" x14ac:dyDescent="0.3">
      <c r="A128">
        <v>127</v>
      </c>
      <c r="B128">
        <v>46.85</v>
      </c>
      <c r="C128" s="5">
        <v>6.0905000000000005</v>
      </c>
      <c r="D128" s="5">
        <v>34.013100000000001</v>
      </c>
      <c r="E128" s="5">
        <v>7.6</v>
      </c>
      <c r="F128" s="5">
        <v>6.3</v>
      </c>
      <c r="G128" s="5">
        <v>0.22</v>
      </c>
      <c r="H128" s="5">
        <v>750</v>
      </c>
      <c r="I128" s="5">
        <v>2</v>
      </c>
      <c r="J128" s="5">
        <v>0</v>
      </c>
      <c r="K128" s="5">
        <v>23.529411764705884</v>
      </c>
      <c r="L128" s="5">
        <v>23.529411764705884</v>
      </c>
      <c r="M128" s="5">
        <v>39.215686274509807</v>
      </c>
      <c r="N128" s="5">
        <v>13.725490196078431</v>
      </c>
      <c r="O128" s="5">
        <v>1.6614477660368803</v>
      </c>
      <c r="P128" t="s">
        <v>31</v>
      </c>
      <c r="Q128" t="s">
        <v>51</v>
      </c>
    </row>
    <row r="129" spans="1:17" x14ac:dyDescent="0.3">
      <c r="A129">
        <v>128</v>
      </c>
      <c r="B129">
        <v>46.85</v>
      </c>
      <c r="C129" s="5">
        <v>6.0905000000000005</v>
      </c>
      <c r="D129" s="5">
        <v>34.013100000000001</v>
      </c>
      <c r="E129" s="5">
        <v>7.6</v>
      </c>
      <c r="F129" s="5">
        <v>6.3</v>
      </c>
      <c r="G129" s="5">
        <v>0.23</v>
      </c>
      <c r="H129" s="5">
        <v>760</v>
      </c>
      <c r="I129" s="5">
        <v>2</v>
      </c>
      <c r="J129" s="5">
        <v>0</v>
      </c>
      <c r="K129" s="5">
        <v>26.666666666666668</v>
      </c>
      <c r="L129" s="5">
        <v>20</v>
      </c>
      <c r="M129" s="5">
        <v>37.777777777777779</v>
      </c>
      <c r="N129" s="5">
        <v>15.555555555555555</v>
      </c>
      <c r="O129" s="5">
        <v>1.59777374291782</v>
      </c>
      <c r="P129" t="s">
        <v>31</v>
      </c>
      <c r="Q129" t="s">
        <v>51</v>
      </c>
    </row>
    <row r="130" spans="1:17" x14ac:dyDescent="0.3">
      <c r="A130">
        <v>129</v>
      </c>
      <c r="B130">
        <v>46.85</v>
      </c>
      <c r="C130" s="5">
        <v>6.0905000000000005</v>
      </c>
      <c r="D130" s="5">
        <v>34.013100000000001</v>
      </c>
      <c r="E130" s="5">
        <v>7.6</v>
      </c>
      <c r="F130" s="5">
        <v>6.3</v>
      </c>
      <c r="G130" s="5">
        <v>0.4</v>
      </c>
      <c r="H130" s="5">
        <v>785</v>
      </c>
      <c r="I130" s="5">
        <v>2</v>
      </c>
      <c r="J130" s="5">
        <v>0</v>
      </c>
      <c r="K130" s="5">
        <v>19.047619047619047</v>
      </c>
      <c r="L130" s="5">
        <v>23.80952380952381</v>
      </c>
      <c r="M130" s="5">
        <v>40.476190476190474</v>
      </c>
      <c r="N130" s="5">
        <v>16.666666666666668</v>
      </c>
      <c r="O130" s="5">
        <v>1.8110669124543193</v>
      </c>
      <c r="P130" t="s">
        <v>31</v>
      </c>
      <c r="Q130" t="s">
        <v>51</v>
      </c>
    </row>
    <row r="131" spans="1:17" x14ac:dyDescent="0.3">
      <c r="A131">
        <v>130</v>
      </c>
      <c r="B131">
        <v>46.85</v>
      </c>
      <c r="C131" s="5">
        <v>6.0905000000000005</v>
      </c>
      <c r="D131" s="5">
        <v>34.013100000000001</v>
      </c>
      <c r="E131" s="5">
        <v>7.6</v>
      </c>
      <c r="F131" s="5">
        <v>6.3</v>
      </c>
      <c r="G131" s="5">
        <v>0.28999999999999998</v>
      </c>
      <c r="H131" s="5">
        <v>780</v>
      </c>
      <c r="I131" s="5">
        <v>2</v>
      </c>
      <c r="J131" s="5">
        <v>0</v>
      </c>
      <c r="K131" s="5">
        <v>22.727272727272727</v>
      </c>
      <c r="L131" s="5">
        <v>29.545454545454547</v>
      </c>
      <c r="M131" s="5">
        <v>36.363636363636367</v>
      </c>
      <c r="N131" s="5">
        <v>11.363636363636363</v>
      </c>
      <c r="O131" s="5">
        <v>2.0084465121818376</v>
      </c>
      <c r="P131" t="s">
        <v>31</v>
      </c>
      <c r="Q131" t="s">
        <v>51</v>
      </c>
    </row>
    <row r="132" spans="1:17" x14ac:dyDescent="0.3">
      <c r="A132">
        <v>131</v>
      </c>
      <c r="B132">
        <v>46.85</v>
      </c>
      <c r="C132" s="5">
        <v>6.0905000000000005</v>
      </c>
      <c r="D132" s="5">
        <v>34.013100000000001</v>
      </c>
      <c r="E132" s="5">
        <v>7.6</v>
      </c>
      <c r="F132" s="5">
        <v>6.3</v>
      </c>
      <c r="G132" s="5">
        <v>0.31</v>
      </c>
      <c r="H132" s="5">
        <v>820</v>
      </c>
      <c r="I132" s="5">
        <v>2</v>
      </c>
      <c r="J132" s="5">
        <v>0</v>
      </c>
      <c r="K132" s="5">
        <v>20.454545454545453</v>
      </c>
      <c r="L132" s="5">
        <v>31.818181818181817</v>
      </c>
      <c r="M132" s="5">
        <v>36.363636363636367</v>
      </c>
      <c r="N132" s="5">
        <v>11.363636363636363</v>
      </c>
      <c r="O132" s="5">
        <v>1.9571124160238353</v>
      </c>
      <c r="P132" t="s">
        <v>31</v>
      </c>
      <c r="Q132" t="s">
        <v>51</v>
      </c>
    </row>
    <row r="133" spans="1:17" x14ac:dyDescent="0.3">
      <c r="A133">
        <v>132</v>
      </c>
      <c r="B133">
        <v>37.6</v>
      </c>
      <c r="C133" s="5">
        <v>5.42</v>
      </c>
      <c r="D133" s="5">
        <v>33.200000000000003</v>
      </c>
      <c r="E133" s="5">
        <v>9.08</v>
      </c>
      <c r="F133" s="5">
        <v>23.4</v>
      </c>
      <c r="G133" s="5">
        <v>0.25</v>
      </c>
      <c r="H133" s="5">
        <v>665</v>
      </c>
      <c r="I133" s="5">
        <v>4</v>
      </c>
      <c r="J133" s="5">
        <v>0</v>
      </c>
      <c r="K133" s="5">
        <v>9.2102233479161875</v>
      </c>
      <c r="L133" s="5">
        <v>45.820861155883023</v>
      </c>
      <c r="M133" s="5">
        <v>33.271931844347229</v>
      </c>
      <c r="N133" s="5">
        <v>6.6774119272392358</v>
      </c>
      <c r="O133" s="5">
        <v>2.1537885427639023</v>
      </c>
      <c r="P133" t="s">
        <v>34</v>
      </c>
      <c r="Q133" t="s">
        <v>52</v>
      </c>
    </row>
    <row r="134" spans="1:17" x14ac:dyDescent="0.3">
      <c r="A134">
        <v>133</v>
      </c>
      <c r="B134">
        <v>37.6</v>
      </c>
      <c r="C134" s="5">
        <v>5.42</v>
      </c>
      <c r="D134" s="5">
        <v>33.200000000000003</v>
      </c>
      <c r="E134" s="5">
        <v>9.08</v>
      </c>
      <c r="F134" s="5">
        <v>23.4</v>
      </c>
      <c r="G134" s="5">
        <v>0.3</v>
      </c>
      <c r="H134" s="5">
        <v>744</v>
      </c>
      <c r="I134" s="5">
        <v>4</v>
      </c>
      <c r="J134" s="5">
        <v>0</v>
      </c>
      <c r="K134" s="5">
        <v>9.7674418604651159</v>
      </c>
      <c r="L134" s="5">
        <v>38.63049095607235</v>
      </c>
      <c r="M134" s="5">
        <v>41.937984496124031</v>
      </c>
      <c r="N134" s="5">
        <v>6.1240310077519373</v>
      </c>
      <c r="O134" s="5">
        <v>2.4840361193210336</v>
      </c>
      <c r="P134" t="s">
        <v>34</v>
      </c>
      <c r="Q134" t="s">
        <v>52</v>
      </c>
    </row>
    <row r="135" spans="1:17" x14ac:dyDescent="0.3">
      <c r="A135">
        <v>134</v>
      </c>
      <c r="B135">
        <v>37.6</v>
      </c>
      <c r="C135" s="5">
        <v>5.42</v>
      </c>
      <c r="D135" s="5">
        <v>33.200000000000003</v>
      </c>
      <c r="E135" s="5">
        <v>9.08</v>
      </c>
      <c r="F135" s="5">
        <v>23.4</v>
      </c>
      <c r="G135" s="5">
        <v>0.35</v>
      </c>
      <c r="H135" s="5">
        <v>811</v>
      </c>
      <c r="I135" s="5">
        <v>4</v>
      </c>
      <c r="J135" s="5">
        <v>0</v>
      </c>
      <c r="K135" s="5">
        <v>9.3106289480911855</v>
      </c>
      <c r="L135" s="5">
        <v>35.017852238396046</v>
      </c>
      <c r="M135" s="5">
        <v>47.074979401263391</v>
      </c>
      <c r="N135" s="5">
        <v>5.4380664652567985</v>
      </c>
      <c r="O135" s="5">
        <v>2.8430008764483508</v>
      </c>
      <c r="P135" t="s">
        <v>34</v>
      </c>
      <c r="Q135" t="s">
        <v>52</v>
      </c>
    </row>
    <row r="136" spans="1:17" x14ac:dyDescent="0.3">
      <c r="A136">
        <v>135</v>
      </c>
      <c r="B136">
        <v>37.6</v>
      </c>
      <c r="C136" s="5">
        <v>5.42</v>
      </c>
      <c r="D136" s="5">
        <v>33.200000000000003</v>
      </c>
      <c r="E136" s="5">
        <v>9.08</v>
      </c>
      <c r="F136" s="5">
        <v>23.4</v>
      </c>
      <c r="G136" s="5">
        <v>0.35</v>
      </c>
      <c r="H136" s="5">
        <v>670</v>
      </c>
      <c r="I136" s="5">
        <v>4</v>
      </c>
      <c r="J136" s="5">
        <v>0</v>
      </c>
      <c r="K136" s="5">
        <v>9.2994573260976807</v>
      </c>
      <c r="L136" s="5">
        <v>45.115934879131721</v>
      </c>
      <c r="M136" s="5">
        <v>35.76714356191416</v>
      </c>
      <c r="N136" s="5">
        <v>5.8214109521460289</v>
      </c>
      <c r="O136" s="5">
        <v>2.1394299524788094</v>
      </c>
      <c r="P136" t="s">
        <v>34</v>
      </c>
      <c r="Q136" t="s">
        <v>52</v>
      </c>
    </row>
    <row r="137" spans="1:17" x14ac:dyDescent="0.3">
      <c r="A137">
        <v>136</v>
      </c>
      <c r="B137">
        <v>37.6</v>
      </c>
      <c r="C137" s="5">
        <v>5.42</v>
      </c>
      <c r="D137" s="5">
        <v>33.200000000000003</v>
      </c>
      <c r="E137" s="5">
        <v>9.08</v>
      </c>
      <c r="F137" s="5">
        <v>23.4</v>
      </c>
      <c r="G137" s="5">
        <v>0.3</v>
      </c>
      <c r="H137" s="5">
        <v>750</v>
      </c>
      <c r="I137" s="5">
        <v>4</v>
      </c>
      <c r="J137" s="5">
        <v>0</v>
      </c>
      <c r="K137" s="5">
        <v>9.0473656200106447</v>
      </c>
      <c r="L137" s="5">
        <v>38.398084087280473</v>
      </c>
      <c r="M137" s="5">
        <v>43.79989356040447</v>
      </c>
      <c r="N137" s="5">
        <v>5.3219797764768497</v>
      </c>
      <c r="O137" s="5">
        <v>2.4553189387508483</v>
      </c>
      <c r="P137" t="s">
        <v>34</v>
      </c>
      <c r="Q137" t="s">
        <v>52</v>
      </c>
    </row>
    <row r="138" spans="1:17" x14ac:dyDescent="0.3">
      <c r="A138">
        <v>137</v>
      </c>
      <c r="B138">
        <v>37.6</v>
      </c>
      <c r="C138" s="5">
        <v>5.42</v>
      </c>
      <c r="D138" s="5">
        <v>33.200000000000003</v>
      </c>
      <c r="E138" s="5">
        <v>9.08</v>
      </c>
      <c r="F138" s="5">
        <v>23.4</v>
      </c>
      <c r="G138" s="5">
        <v>0.35</v>
      </c>
      <c r="H138" s="5">
        <v>822</v>
      </c>
      <c r="I138" s="5">
        <v>4</v>
      </c>
      <c r="J138" s="5">
        <v>0</v>
      </c>
      <c r="K138" s="5">
        <v>9.0833101142379498</v>
      </c>
      <c r="L138" s="5">
        <v>34.828643076065752</v>
      </c>
      <c r="M138" s="5">
        <v>48.007801616049036</v>
      </c>
      <c r="N138" s="5">
        <v>5.1546391752577323</v>
      </c>
      <c r="O138" s="5">
        <v>2.8286422861632583</v>
      </c>
      <c r="P138" t="s">
        <v>34</v>
      </c>
      <c r="Q138" t="s">
        <v>52</v>
      </c>
    </row>
    <row r="139" spans="1:17" x14ac:dyDescent="0.3">
      <c r="A139">
        <v>138</v>
      </c>
      <c r="B139">
        <v>37.6</v>
      </c>
      <c r="C139" s="5">
        <v>5.42</v>
      </c>
      <c r="D139" s="5">
        <v>33.200000000000003</v>
      </c>
      <c r="E139" s="5">
        <v>9.08</v>
      </c>
      <c r="F139" s="5">
        <v>23.4</v>
      </c>
      <c r="G139" s="5">
        <v>0.35</v>
      </c>
      <c r="H139" s="5">
        <v>700</v>
      </c>
      <c r="I139" s="5">
        <v>4</v>
      </c>
      <c r="J139" s="5">
        <v>0</v>
      </c>
      <c r="K139" s="5">
        <v>9.2487116897206416</v>
      </c>
      <c r="L139" s="5">
        <v>41.036072687822077</v>
      </c>
      <c r="M139" s="5">
        <v>40.195280716029295</v>
      </c>
      <c r="N139" s="5">
        <v>5.4244643341470038</v>
      </c>
      <c r="O139" s="5">
        <v>1.8666167370620486</v>
      </c>
      <c r="P139" t="s">
        <v>34</v>
      </c>
      <c r="Q139" t="s">
        <v>52</v>
      </c>
    </row>
    <row r="140" spans="1:17" x14ac:dyDescent="0.3">
      <c r="A140">
        <v>139</v>
      </c>
      <c r="B140">
        <v>37.6</v>
      </c>
      <c r="C140" s="5">
        <v>5.42</v>
      </c>
      <c r="D140" s="5">
        <v>33.200000000000003</v>
      </c>
      <c r="E140" s="5">
        <v>9.08</v>
      </c>
      <c r="F140" s="5">
        <v>23.4</v>
      </c>
      <c r="G140" s="5">
        <v>0.3</v>
      </c>
      <c r="H140" s="5">
        <v>766</v>
      </c>
      <c r="I140" s="5">
        <v>4</v>
      </c>
      <c r="J140" s="5">
        <v>0</v>
      </c>
      <c r="K140" s="5">
        <v>9.2171016102165453</v>
      </c>
      <c r="L140" s="5">
        <v>36.091060521932256</v>
      </c>
      <c r="M140" s="5">
        <v>46.14103275957801</v>
      </c>
      <c r="N140" s="5">
        <v>5.3026096612992779</v>
      </c>
      <c r="O140" s="5">
        <v>2.1537885427639023</v>
      </c>
      <c r="P140" t="s">
        <v>34</v>
      </c>
      <c r="Q140" t="s">
        <v>52</v>
      </c>
    </row>
    <row r="141" spans="1:17" x14ac:dyDescent="0.3">
      <c r="A141">
        <v>140</v>
      </c>
      <c r="B141">
        <v>37.6</v>
      </c>
      <c r="C141" s="5">
        <v>5.42</v>
      </c>
      <c r="D141" s="5">
        <v>33.200000000000003</v>
      </c>
      <c r="E141" s="5">
        <v>9.08</v>
      </c>
      <c r="F141" s="5">
        <v>23.4</v>
      </c>
      <c r="G141" s="5">
        <v>0.35</v>
      </c>
      <c r="H141" s="5">
        <v>828</v>
      </c>
      <c r="I141" s="5">
        <v>4</v>
      </c>
      <c r="J141" s="5">
        <v>0</v>
      </c>
      <c r="K141" s="5">
        <v>9.0807488125174611</v>
      </c>
      <c r="L141" s="5">
        <v>34.339200894104493</v>
      </c>
      <c r="M141" s="5">
        <v>48.672813635093597</v>
      </c>
      <c r="N141" s="5">
        <v>5.1411008661637316</v>
      </c>
      <c r="O141" s="5">
        <v>2.4409603484657558</v>
      </c>
      <c r="P141" t="s">
        <v>34</v>
      </c>
      <c r="Q141" t="s">
        <v>52</v>
      </c>
    </row>
    <row r="142" spans="1:17" x14ac:dyDescent="0.3">
      <c r="A142">
        <v>141</v>
      </c>
      <c r="B142">
        <v>49</v>
      </c>
      <c r="C142" s="5">
        <v>6.1</v>
      </c>
      <c r="D142" s="5">
        <v>44.4</v>
      </c>
      <c r="E142" s="5">
        <v>7</v>
      </c>
      <c r="F142" s="5">
        <v>0.4</v>
      </c>
      <c r="G142" s="5">
        <v>0.21</v>
      </c>
      <c r="H142" s="5">
        <v>700</v>
      </c>
      <c r="I142" s="5">
        <v>4</v>
      </c>
      <c r="J142" s="5">
        <v>0</v>
      </c>
      <c r="K142" s="5">
        <v>22.05</v>
      </c>
      <c r="L142" s="5">
        <v>29.87</v>
      </c>
      <c r="M142" s="5">
        <v>34.19</v>
      </c>
      <c r="N142" s="5">
        <v>9.51</v>
      </c>
      <c r="O142" s="5">
        <v>0.69093578615537421</v>
      </c>
      <c r="P142" t="s">
        <v>53</v>
      </c>
      <c r="Q142" t="s">
        <v>54</v>
      </c>
    </row>
    <row r="143" spans="1:17" x14ac:dyDescent="0.3">
      <c r="A143">
        <v>142</v>
      </c>
      <c r="B143">
        <v>49</v>
      </c>
      <c r="C143" s="5">
        <v>6.1</v>
      </c>
      <c r="D143" s="5">
        <v>44.4</v>
      </c>
      <c r="E143" s="5">
        <v>7</v>
      </c>
      <c r="F143" s="5">
        <v>0.4</v>
      </c>
      <c r="G143" s="5">
        <v>0.21</v>
      </c>
      <c r="H143" s="5">
        <v>700</v>
      </c>
      <c r="I143" s="5">
        <v>4</v>
      </c>
      <c r="J143" s="5">
        <v>0</v>
      </c>
      <c r="K143" s="5">
        <v>20.27</v>
      </c>
      <c r="L143" s="5">
        <v>30.61</v>
      </c>
      <c r="M143" s="5">
        <v>34.729999999999997</v>
      </c>
      <c r="N143" s="5">
        <v>10.18</v>
      </c>
      <c r="O143" s="5">
        <v>0.96083257762231722</v>
      </c>
      <c r="P143" t="s">
        <v>53</v>
      </c>
      <c r="Q143" t="s">
        <v>54</v>
      </c>
    </row>
    <row r="144" spans="1:17" x14ac:dyDescent="0.3">
      <c r="A144">
        <v>143</v>
      </c>
      <c r="B144">
        <v>49</v>
      </c>
      <c r="C144" s="5">
        <v>6.1</v>
      </c>
      <c r="D144" s="5">
        <v>44.4</v>
      </c>
      <c r="E144" s="5">
        <v>7</v>
      </c>
      <c r="F144" s="5">
        <v>0.4</v>
      </c>
      <c r="G144" s="5">
        <v>0.21</v>
      </c>
      <c r="H144" s="5">
        <v>700</v>
      </c>
      <c r="I144" s="5">
        <v>4</v>
      </c>
      <c r="J144" s="5">
        <v>0</v>
      </c>
      <c r="K144" s="5">
        <v>21.54</v>
      </c>
      <c r="L144" s="5">
        <v>31.29</v>
      </c>
      <c r="M144" s="5">
        <v>34.590000000000003</v>
      </c>
      <c r="N144" s="5">
        <v>9.76</v>
      </c>
      <c r="O144" s="5">
        <v>0.93924083430496175</v>
      </c>
      <c r="P144" t="s">
        <v>53</v>
      </c>
      <c r="Q144" t="s">
        <v>54</v>
      </c>
    </row>
    <row r="145" spans="1:17" x14ac:dyDescent="0.3">
      <c r="A145">
        <v>144</v>
      </c>
      <c r="B145">
        <v>49</v>
      </c>
      <c r="C145" s="5">
        <v>6.1</v>
      </c>
      <c r="D145" s="5">
        <v>44.4</v>
      </c>
      <c r="E145" s="5">
        <v>7</v>
      </c>
      <c r="F145" s="5">
        <v>0.4</v>
      </c>
      <c r="G145" s="5">
        <v>0.25</v>
      </c>
      <c r="H145" s="5">
        <v>750</v>
      </c>
      <c r="I145" s="5">
        <v>4</v>
      </c>
      <c r="J145" s="5">
        <v>0</v>
      </c>
      <c r="K145" s="5">
        <v>18.059999999999999</v>
      </c>
      <c r="L145" s="5">
        <v>34.83</v>
      </c>
      <c r="M145" s="5">
        <v>31.88</v>
      </c>
      <c r="N145" s="5">
        <v>10.19</v>
      </c>
      <c r="O145" s="5">
        <v>1.0795871658677723</v>
      </c>
      <c r="P145" t="s">
        <v>53</v>
      </c>
      <c r="Q145" t="s">
        <v>54</v>
      </c>
    </row>
    <row r="146" spans="1:17" x14ac:dyDescent="0.3">
      <c r="A146">
        <v>145</v>
      </c>
      <c r="B146">
        <v>49</v>
      </c>
      <c r="C146" s="5">
        <v>6.1</v>
      </c>
      <c r="D146" s="5">
        <v>44.4</v>
      </c>
      <c r="E146" s="5">
        <v>7</v>
      </c>
      <c r="F146" s="5">
        <v>0.4</v>
      </c>
      <c r="G146" s="5">
        <v>0.24</v>
      </c>
      <c r="H146" s="5">
        <v>750</v>
      </c>
      <c r="I146" s="5">
        <v>4</v>
      </c>
      <c r="J146" s="5">
        <v>0</v>
      </c>
      <c r="K146" s="5">
        <v>18.93</v>
      </c>
      <c r="L146" s="5">
        <v>33.69</v>
      </c>
      <c r="M146" s="5">
        <v>32.42</v>
      </c>
      <c r="N146" s="5">
        <v>10.02</v>
      </c>
      <c r="O146" s="5">
        <v>1.0471995508917389</v>
      </c>
      <c r="P146" t="s">
        <v>53</v>
      </c>
      <c r="Q146" t="s">
        <v>54</v>
      </c>
    </row>
    <row r="147" spans="1:17" x14ac:dyDescent="0.3">
      <c r="A147">
        <v>146</v>
      </c>
      <c r="B147">
        <v>49</v>
      </c>
      <c r="C147" s="5">
        <v>6.1</v>
      </c>
      <c r="D147" s="5">
        <v>44.4</v>
      </c>
      <c r="E147" s="5">
        <v>7</v>
      </c>
      <c r="F147" s="5">
        <v>0.4</v>
      </c>
      <c r="G147" s="5">
        <v>0.24</v>
      </c>
      <c r="H147" s="5">
        <v>750</v>
      </c>
      <c r="I147" s="5">
        <v>4</v>
      </c>
      <c r="J147" s="5">
        <v>0</v>
      </c>
      <c r="K147" s="5">
        <v>20.2</v>
      </c>
      <c r="L147" s="5">
        <v>31.92</v>
      </c>
      <c r="M147" s="5">
        <v>33.19</v>
      </c>
      <c r="N147" s="5">
        <v>9.84</v>
      </c>
      <c r="O147" s="5">
        <v>1.0579954225504167</v>
      </c>
      <c r="P147" t="s">
        <v>53</v>
      </c>
      <c r="Q147" t="s">
        <v>54</v>
      </c>
    </row>
    <row r="148" spans="1:17" x14ac:dyDescent="0.3">
      <c r="A148">
        <v>147</v>
      </c>
      <c r="B148">
        <v>49</v>
      </c>
      <c r="C148" s="5">
        <v>6.1</v>
      </c>
      <c r="D148" s="5">
        <v>44.4</v>
      </c>
      <c r="E148" s="5">
        <v>7</v>
      </c>
      <c r="F148" s="5">
        <v>0.4</v>
      </c>
      <c r="G148" s="5">
        <v>0.23</v>
      </c>
      <c r="H148" s="5">
        <v>800</v>
      </c>
      <c r="I148" s="5">
        <v>4</v>
      </c>
      <c r="J148" s="5">
        <v>0</v>
      </c>
      <c r="K148" s="5">
        <v>19.87</v>
      </c>
      <c r="L148" s="5">
        <v>36.630000000000003</v>
      </c>
      <c r="M148" s="5">
        <v>29.73</v>
      </c>
      <c r="N148" s="5">
        <v>9.81</v>
      </c>
      <c r="O148" s="5">
        <v>1.1227706525024832</v>
      </c>
      <c r="P148" t="s">
        <v>53</v>
      </c>
      <c r="Q148" t="s">
        <v>54</v>
      </c>
    </row>
    <row r="149" spans="1:17" x14ac:dyDescent="0.3">
      <c r="A149">
        <v>148</v>
      </c>
      <c r="B149">
        <v>49</v>
      </c>
      <c r="C149" s="5">
        <v>6.1</v>
      </c>
      <c r="D149" s="5">
        <v>44.4</v>
      </c>
      <c r="E149" s="5">
        <v>7</v>
      </c>
      <c r="F149" s="5">
        <v>0.4</v>
      </c>
      <c r="G149" s="5">
        <v>0.23</v>
      </c>
      <c r="H149" s="5">
        <v>800</v>
      </c>
      <c r="I149" s="5">
        <v>4</v>
      </c>
      <c r="J149" s="5">
        <v>0</v>
      </c>
      <c r="K149" s="5">
        <v>20.75</v>
      </c>
      <c r="L149" s="5">
        <v>34.159999999999997</v>
      </c>
      <c r="M149" s="5">
        <v>31.82</v>
      </c>
      <c r="N149" s="5">
        <v>9.5</v>
      </c>
      <c r="O149" s="5">
        <v>1.0903830375264498</v>
      </c>
      <c r="P149" t="s">
        <v>53</v>
      </c>
      <c r="Q149" t="s">
        <v>54</v>
      </c>
    </row>
    <row r="150" spans="1:17" x14ac:dyDescent="0.3">
      <c r="A150">
        <v>149</v>
      </c>
      <c r="B150">
        <v>49</v>
      </c>
      <c r="C150" s="5">
        <v>6.1</v>
      </c>
      <c r="D150" s="5">
        <v>44.4</v>
      </c>
      <c r="E150" s="5">
        <v>7</v>
      </c>
      <c r="F150" s="5">
        <v>0.4</v>
      </c>
      <c r="G150" s="5">
        <v>0.22</v>
      </c>
      <c r="H150" s="5">
        <v>800</v>
      </c>
      <c r="I150" s="5">
        <v>4</v>
      </c>
      <c r="J150" s="5">
        <v>0</v>
      </c>
      <c r="K150" s="5">
        <v>19.87</v>
      </c>
      <c r="L150" s="5">
        <v>36.630000000000003</v>
      </c>
      <c r="M150" s="5">
        <v>29.73</v>
      </c>
      <c r="N150" s="5">
        <v>9.81</v>
      </c>
      <c r="O150" s="5">
        <v>1.0903830375264498</v>
      </c>
      <c r="P150" t="s">
        <v>53</v>
      </c>
      <c r="Q150" t="s">
        <v>54</v>
      </c>
    </row>
    <row r="151" spans="1:17" x14ac:dyDescent="0.3">
      <c r="A151">
        <v>150</v>
      </c>
      <c r="B151">
        <v>48.11</v>
      </c>
      <c r="C151" s="5">
        <v>5.58</v>
      </c>
      <c r="D151" s="5">
        <v>39.42</v>
      </c>
      <c r="E151" s="5">
        <v>7.03</v>
      </c>
      <c r="F151" s="5">
        <v>6.1</v>
      </c>
      <c r="G151" s="5">
        <v>0.3</v>
      </c>
      <c r="H151" s="5">
        <v>826</v>
      </c>
      <c r="I151" s="5">
        <v>1</v>
      </c>
      <c r="J151" s="5">
        <v>0</v>
      </c>
      <c r="K151" s="5">
        <v>19.547511312217193</v>
      </c>
      <c r="L151" s="5">
        <v>42.782805429864254</v>
      </c>
      <c r="M151" s="5">
        <v>28.303167420814479</v>
      </c>
      <c r="N151" s="5">
        <v>6.6063348416289589</v>
      </c>
      <c r="O151" s="5">
        <v>2.17</v>
      </c>
      <c r="P151" t="s">
        <v>55</v>
      </c>
      <c r="Q151" t="s">
        <v>56</v>
      </c>
    </row>
    <row r="152" spans="1:17" x14ac:dyDescent="0.3">
      <c r="A152">
        <v>151</v>
      </c>
      <c r="B152">
        <v>48.11</v>
      </c>
      <c r="C152" s="5">
        <v>5.58</v>
      </c>
      <c r="D152" s="5">
        <v>39.42</v>
      </c>
      <c r="E152" s="5">
        <v>7.03</v>
      </c>
      <c r="F152" s="5">
        <v>6.1</v>
      </c>
      <c r="G152" s="5">
        <v>0.28999999999999998</v>
      </c>
      <c r="H152" s="5">
        <v>874</v>
      </c>
      <c r="I152" s="5">
        <v>1</v>
      </c>
      <c r="J152" s="5">
        <v>0</v>
      </c>
      <c r="K152" s="5">
        <v>23.475283543762039</v>
      </c>
      <c r="L152" s="5">
        <v>41.343890434410447</v>
      </c>
      <c r="M152" s="5">
        <v>26.621014337684574</v>
      </c>
      <c r="N152" s="5">
        <v>6.1416648833725658</v>
      </c>
      <c r="O152" s="5">
        <v>2.17</v>
      </c>
      <c r="P152" t="s">
        <v>55</v>
      </c>
      <c r="Q152" t="s">
        <v>56</v>
      </c>
    </row>
    <row r="153" spans="1:17" x14ac:dyDescent="0.3">
      <c r="A153">
        <v>152</v>
      </c>
      <c r="B153">
        <v>48.91</v>
      </c>
      <c r="C153" s="5">
        <v>5.9</v>
      </c>
      <c r="D153" s="5">
        <v>33.08</v>
      </c>
      <c r="E153" s="5">
        <v>9.69</v>
      </c>
      <c r="F153" s="5">
        <v>11.37</v>
      </c>
      <c r="G153" s="5">
        <v>0.2</v>
      </c>
      <c r="H153" s="5">
        <v>700</v>
      </c>
      <c r="I153" s="5">
        <v>3</v>
      </c>
      <c r="J153" s="5">
        <v>0</v>
      </c>
      <c r="K153" s="5">
        <v>26.574015582227837</v>
      </c>
      <c r="L153" s="5">
        <v>22.488945041061275</v>
      </c>
      <c r="M153" s="5">
        <v>35.754895767530002</v>
      </c>
      <c r="N153" s="5">
        <v>10.275847546851969</v>
      </c>
      <c r="O153" s="5">
        <v>1.82</v>
      </c>
      <c r="P153" t="s">
        <v>55</v>
      </c>
      <c r="Q153" t="s">
        <v>57</v>
      </c>
    </row>
    <row r="154" spans="1:17" x14ac:dyDescent="0.3">
      <c r="A154">
        <v>153</v>
      </c>
      <c r="B154">
        <v>48.91</v>
      </c>
      <c r="C154" s="5">
        <v>5.9</v>
      </c>
      <c r="D154" s="5">
        <v>33.08</v>
      </c>
      <c r="E154" s="5">
        <v>9.69</v>
      </c>
      <c r="F154" s="5">
        <v>11.37</v>
      </c>
      <c r="G154" s="5">
        <v>0.2</v>
      </c>
      <c r="H154" s="5">
        <v>760</v>
      </c>
      <c r="I154" s="5">
        <v>3</v>
      </c>
      <c r="J154" s="5">
        <v>0</v>
      </c>
      <c r="K154" s="5">
        <v>26.311728395061728</v>
      </c>
      <c r="L154" s="5">
        <v>26.793981481481481</v>
      </c>
      <c r="M154" s="5">
        <v>32.465277777777771</v>
      </c>
      <c r="N154" s="5">
        <v>10.204475308641975</v>
      </c>
      <c r="O154" s="5">
        <v>1.9</v>
      </c>
      <c r="P154" t="s">
        <v>55</v>
      </c>
      <c r="Q154" t="s">
        <v>57</v>
      </c>
    </row>
    <row r="155" spans="1:17" x14ac:dyDescent="0.3">
      <c r="A155">
        <v>154</v>
      </c>
      <c r="B155">
        <v>48.91</v>
      </c>
      <c r="C155" s="5">
        <v>5.9</v>
      </c>
      <c r="D155" s="5">
        <v>33.08</v>
      </c>
      <c r="E155" s="5">
        <v>9.69</v>
      </c>
      <c r="F155" s="5">
        <v>11.37</v>
      </c>
      <c r="G155" s="5">
        <v>0.2</v>
      </c>
      <c r="H155" s="5">
        <v>800</v>
      </c>
      <c r="I155" s="5">
        <v>3</v>
      </c>
      <c r="J155" s="5">
        <v>0</v>
      </c>
      <c r="K155" s="5">
        <v>28.707627118644073</v>
      </c>
      <c r="L155" s="5">
        <v>29.502118644067796</v>
      </c>
      <c r="M155" s="5">
        <v>29.237288135593214</v>
      </c>
      <c r="N155" s="5">
        <v>8.59816384180791</v>
      </c>
      <c r="O155" s="5">
        <v>2.04</v>
      </c>
      <c r="P155" t="s">
        <v>55</v>
      </c>
      <c r="Q155" t="s">
        <v>57</v>
      </c>
    </row>
    <row r="156" spans="1:17" x14ac:dyDescent="0.3">
      <c r="A156">
        <v>155</v>
      </c>
      <c r="B156" s="5">
        <v>45.889600000000002</v>
      </c>
      <c r="C156" s="5">
        <v>5.6372999999999998</v>
      </c>
      <c r="D156" s="5">
        <v>47.175300000000007</v>
      </c>
      <c r="E156" s="5">
        <v>9.5</v>
      </c>
      <c r="F156" s="5">
        <v>1.1000000000000001</v>
      </c>
      <c r="G156" s="5">
        <v>0.38</v>
      </c>
      <c r="H156" s="5">
        <v>761</v>
      </c>
      <c r="I156" s="5">
        <v>1</v>
      </c>
      <c r="J156" s="5">
        <v>0</v>
      </c>
      <c r="K156" s="5">
        <v>15.5</v>
      </c>
      <c r="L156" s="5">
        <v>31.6</v>
      </c>
      <c r="M156" s="5">
        <v>38.1</v>
      </c>
      <c r="N156" s="5">
        <v>8.4</v>
      </c>
      <c r="O156" s="5">
        <v>2.0985507246376813</v>
      </c>
      <c r="P156" t="s">
        <v>25</v>
      </c>
      <c r="Q156" t="s">
        <v>58</v>
      </c>
    </row>
    <row r="157" spans="1:17" x14ac:dyDescent="0.3">
      <c r="A157">
        <v>156</v>
      </c>
      <c r="B157" s="5">
        <v>45.889600000000002</v>
      </c>
      <c r="C157" s="5">
        <v>5.6372999999999998</v>
      </c>
      <c r="D157" s="5">
        <v>47.175300000000007</v>
      </c>
      <c r="E157" s="5">
        <v>18.100000000000001</v>
      </c>
      <c r="F157" s="5">
        <v>1.1000000000000001</v>
      </c>
      <c r="G157" s="5">
        <v>0.38</v>
      </c>
      <c r="H157" s="5">
        <v>730</v>
      </c>
      <c r="I157" s="5">
        <v>1</v>
      </c>
      <c r="J157" s="5">
        <v>0</v>
      </c>
      <c r="K157" s="5">
        <v>13.9</v>
      </c>
      <c r="L157" s="5">
        <v>28.7</v>
      </c>
      <c r="M157" s="5">
        <v>43.8</v>
      </c>
      <c r="N157" s="5">
        <v>8.6999999999999993</v>
      </c>
      <c r="O157" s="5">
        <v>2.0399260172626388</v>
      </c>
      <c r="P157" t="s">
        <v>25</v>
      </c>
      <c r="Q157" t="s">
        <v>58</v>
      </c>
    </row>
    <row r="158" spans="1:17" x14ac:dyDescent="0.3">
      <c r="A158">
        <v>157</v>
      </c>
      <c r="B158" s="5">
        <v>45.889600000000002</v>
      </c>
      <c r="C158" s="5">
        <v>5.6372999999999998</v>
      </c>
      <c r="D158" s="5">
        <v>47.175300000000007</v>
      </c>
      <c r="E158" s="5">
        <v>25.5</v>
      </c>
      <c r="F158" s="5">
        <v>1.1000000000000001</v>
      </c>
      <c r="G158" s="5">
        <v>0.38</v>
      </c>
      <c r="H158" s="5">
        <v>699</v>
      </c>
      <c r="I158" s="5">
        <v>1</v>
      </c>
      <c r="J158" s="5">
        <v>0</v>
      </c>
      <c r="K158" s="5">
        <v>14.1</v>
      </c>
      <c r="L158" s="5">
        <v>27</v>
      </c>
      <c r="M158" s="5">
        <v>45.8</v>
      </c>
      <c r="N158" s="5">
        <v>8.3000000000000007</v>
      </c>
      <c r="O158" s="5">
        <v>2.0217096336499321</v>
      </c>
      <c r="P158" t="s">
        <v>25</v>
      </c>
      <c r="Q158" t="s">
        <v>58</v>
      </c>
    </row>
    <row r="159" spans="1:17" x14ac:dyDescent="0.3">
      <c r="A159">
        <v>158</v>
      </c>
      <c r="B159" s="5">
        <v>45.889600000000002</v>
      </c>
      <c r="C159" s="5">
        <v>5.6372999999999998</v>
      </c>
      <c r="D159" s="5">
        <v>47.175300000000007</v>
      </c>
      <c r="E159" s="5">
        <v>27</v>
      </c>
      <c r="F159" s="5">
        <v>1.1000000000000001</v>
      </c>
      <c r="G159" s="5">
        <v>0.36</v>
      </c>
      <c r="H159" s="5">
        <v>703.5</v>
      </c>
      <c r="I159" s="5">
        <v>1</v>
      </c>
      <c r="J159" s="5">
        <v>0</v>
      </c>
      <c r="K159" s="5">
        <v>13.57</v>
      </c>
      <c r="L159" s="5">
        <v>27.57</v>
      </c>
      <c r="M159" s="5">
        <v>45.46</v>
      </c>
      <c r="N159" s="5">
        <v>8.26</v>
      </c>
      <c r="O159" s="5">
        <v>1.9</v>
      </c>
      <c r="P159" t="s">
        <v>25</v>
      </c>
      <c r="Q159" t="s">
        <v>58</v>
      </c>
    </row>
    <row r="160" spans="1:17" x14ac:dyDescent="0.3">
      <c r="A160">
        <v>159</v>
      </c>
      <c r="B160" s="5">
        <v>45.889600000000002</v>
      </c>
      <c r="C160" s="5">
        <v>5.6372999999999998</v>
      </c>
      <c r="D160" s="5">
        <v>47.175300000000007</v>
      </c>
      <c r="E160" s="5">
        <v>27</v>
      </c>
      <c r="F160" s="5">
        <v>1.1000000000000001</v>
      </c>
      <c r="G160" s="5">
        <v>0.39</v>
      </c>
      <c r="H160" s="5">
        <v>729.9</v>
      </c>
      <c r="I160" s="5">
        <v>1</v>
      </c>
      <c r="J160" s="5">
        <v>0</v>
      </c>
      <c r="K160" s="5">
        <v>13.9</v>
      </c>
      <c r="L160" s="5">
        <v>27.64</v>
      </c>
      <c r="M160" s="5">
        <v>45.79</v>
      </c>
      <c r="N160" s="5">
        <v>8.07</v>
      </c>
      <c r="O160" s="5">
        <v>2</v>
      </c>
      <c r="P160" t="s">
        <v>25</v>
      </c>
      <c r="Q160" t="s">
        <v>58</v>
      </c>
    </row>
    <row r="161" spans="1:17" x14ac:dyDescent="0.3">
      <c r="A161">
        <v>160</v>
      </c>
      <c r="B161" s="5">
        <v>45.889600000000002</v>
      </c>
      <c r="C161" s="5">
        <v>5.6372999999999998</v>
      </c>
      <c r="D161" s="5">
        <v>47.175300000000007</v>
      </c>
      <c r="E161" s="5">
        <v>27</v>
      </c>
      <c r="F161" s="5">
        <v>1.1000000000000001</v>
      </c>
      <c r="G161" s="5">
        <v>0.45</v>
      </c>
      <c r="H161" s="5">
        <v>738.2</v>
      </c>
      <c r="I161" s="5">
        <v>1</v>
      </c>
      <c r="J161" s="5">
        <v>0</v>
      </c>
      <c r="K161" s="5">
        <v>14.29</v>
      </c>
      <c r="L161" s="5">
        <v>27.34</v>
      </c>
      <c r="M161" s="5">
        <v>46.03</v>
      </c>
      <c r="N161" s="5">
        <v>7.93</v>
      </c>
      <c r="O161" s="5">
        <v>2.1800000000000002</v>
      </c>
      <c r="P161" t="s">
        <v>25</v>
      </c>
      <c r="Q161" t="s">
        <v>58</v>
      </c>
    </row>
    <row r="162" spans="1:17" x14ac:dyDescent="0.3">
      <c r="A162">
        <v>161</v>
      </c>
      <c r="B162" s="5">
        <v>45.889600000000002</v>
      </c>
      <c r="C162" s="5">
        <v>5.6372999999999998</v>
      </c>
      <c r="D162" s="5">
        <v>47.175300000000007</v>
      </c>
      <c r="E162" s="5">
        <v>27</v>
      </c>
      <c r="F162" s="5">
        <v>1.1000000000000001</v>
      </c>
      <c r="G162" s="5">
        <v>0.49</v>
      </c>
      <c r="H162" s="5">
        <v>765.4</v>
      </c>
      <c r="I162" s="5">
        <v>1</v>
      </c>
      <c r="J162" s="5">
        <v>0</v>
      </c>
      <c r="K162" s="5">
        <v>14.06</v>
      </c>
      <c r="L162" s="5">
        <v>26.8</v>
      </c>
      <c r="M162" s="5">
        <v>47.16</v>
      </c>
      <c r="N162" s="5">
        <v>7.82</v>
      </c>
      <c r="O162" s="5">
        <v>2.4500000000000002</v>
      </c>
      <c r="P162" t="s">
        <v>25</v>
      </c>
      <c r="Q162" t="s">
        <v>58</v>
      </c>
    </row>
    <row r="163" spans="1:17" x14ac:dyDescent="0.3">
      <c r="A163">
        <v>162</v>
      </c>
      <c r="B163">
        <v>50.13</v>
      </c>
      <c r="C163" s="5">
        <v>6.0846560846560847</v>
      </c>
      <c r="D163" s="5">
        <v>41.534391534391538</v>
      </c>
      <c r="E163" s="5">
        <v>24.4</v>
      </c>
      <c r="F163" s="5">
        <v>1.59</v>
      </c>
      <c r="G163" s="5">
        <v>0.3</v>
      </c>
      <c r="H163" s="5">
        <v>726.3</v>
      </c>
      <c r="I163" s="5">
        <v>1</v>
      </c>
      <c r="J163" s="5">
        <v>0</v>
      </c>
      <c r="K163" s="5">
        <v>14.06</v>
      </c>
      <c r="L163" s="5">
        <v>33.25</v>
      </c>
      <c r="M163" s="5">
        <v>40.99</v>
      </c>
      <c r="N163" s="5">
        <v>7.85</v>
      </c>
      <c r="O163" s="5">
        <v>1.86</v>
      </c>
      <c r="P163" t="s">
        <v>59</v>
      </c>
      <c r="Q163" t="s">
        <v>58</v>
      </c>
    </row>
    <row r="164" spans="1:17" x14ac:dyDescent="0.3">
      <c r="A164">
        <v>163</v>
      </c>
      <c r="B164">
        <v>50.13</v>
      </c>
      <c r="C164" s="5">
        <v>6.0846560846560847</v>
      </c>
      <c r="D164" s="5">
        <v>41.534391534391538</v>
      </c>
      <c r="E164" s="5">
        <v>24.4</v>
      </c>
      <c r="F164" s="5">
        <v>1.59</v>
      </c>
      <c r="G164" s="5">
        <v>0.38</v>
      </c>
      <c r="H164" s="5">
        <v>767.2</v>
      </c>
      <c r="I164" s="5">
        <v>1</v>
      </c>
      <c r="J164" s="5">
        <v>0</v>
      </c>
      <c r="K164" s="5">
        <v>14.58</v>
      </c>
      <c r="L164" s="5">
        <v>32.44</v>
      </c>
      <c r="M164" s="5">
        <v>41.26</v>
      </c>
      <c r="N164" s="5">
        <v>8.01</v>
      </c>
      <c r="O164" s="5">
        <v>2.2999999999999998</v>
      </c>
      <c r="P164" t="s">
        <v>59</v>
      </c>
      <c r="Q164" t="s">
        <v>58</v>
      </c>
    </row>
    <row r="165" spans="1:17" x14ac:dyDescent="0.3">
      <c r="A165">
        <v>164</v>
      </c>
      <c r="B165">
        <v>50.13</v>
      </c>
      <c r="C165" s="5">
        <v>6.0846560846560847</v>
      </c>
      <c r="D165" s="5">
        <v>41.534391534391538</v>
      </c>
      <c r="E165" s="5">
        <v>24.4</v>
      </c>
      <c r="F165" s="5">
        <v>1.59</v>
      </c>
      <c r="G165" s="5">
        <v>0.43</v>
      </c>
      <c r="H165" s="5">
        <v>783.1</v>
      </c>
      <c r="I165" s="5">
        <v>1</v>
      </c>
      <c r="J165" s="5">
        <v>0</v>
      </c>
      <c r="K165" s="5">
        <v>15.48</v>
      </c>
      <c r="L165" s="5">
        <v>32.14</v>
      </c>
      <c r="M165" s="5">
        <v>41.19</v>
      </c>
      <c r="N165" s="5">
        <v>7.93</v>
      </c>
      <c r="O165" s="5">
        <v>2.58</v>
      </c>
      <c r="P165" t="s">
        <v>59</v>
      </c>
      <c r="Q165" t="s">
        <v>58</v>
      </c>
    </row>
    <row r="166" spans="1:17" x14ac:dyDescent="0.3">
      <c r="A166">
        <v>165</v>
      </c>
      <c r="B166">
        <v>50.13</v>
      </c>
      <c r="C166" s="5">
        <v>6.0846560846560847</v>
      </c>
      <c r="D166" s="5">
        <v>41.534391534391538</v>
      </c>
      <c r="E166" s="5">
        <v>24.4</v>
      </c>
      <c r="F166" s="5">
        <v>1.59</v>
      </c>
      <c r="G166" s="5">
        <v>0.46</v>
      </c>
      <c r="H166" s="5">
        <v>806.6</v>
      </c>
      <c r="I166" s="5">
        <v>1</v>
      </c>
      <c r="J166" s="5">
        <v>0</v>
      </c>
      <c r="K166" s="5">
        <v>14.66</v>
      </c>
      <c r="L166" s="5">
        <v>32.68</v>
      </c>
      <c r="M166" s="5">
        <v>41.72</v>
      </c>
      <c r="N166" s="5">
        <v>8.07</v>
      </c>
      <c r="O166" s="5">
        <v>2.74</v>
      </c>
      <c r="P166" t="s">
        <v>59</v>
      </c>
      <c r="Q166" t="s">
        <v>58</v>
      </c>
    </row>
    <row r="167" spans="1:17" x14ac:dyDescent="0.3">
      <c r="A167">
        <v>166</v>
      </c>
      <c r="B167">
        <v>54.22</v>
      </c>
      <c r="C167" s="5">
        <v>6.3938618925831197</v>
      </c>
      <c r="D167" s="5">
        <v>36.189258312020456</v>
      </c>
      <c r="E167" s="5">
        <v>21.8</v>
      </c>
      <c r="F167" s="5">
        <v>2.0499999999999998</v>
      </c>
      <c r="G167" s="5">
        <v>0.3</v>
      </c>
      <c r="H167" s="5">
        <v>747.3</v>
      </c>
      <c r="I167" s="5">
        <v>1</v>
      </c>
      <c r="J167" s="5">
        <v>0</v>
      </c>
      <c r="K167" s="5">
        <v>13.43</v>
      </c>
      <c r="L167" s="5">
        <v>34.65</v>
      </c>
      <c r="M167" s="5">
        <v>38.49</v>
      </c>
      <c r="N167" s="5">
        <v>8.83</v>
      </c>
      <c r="O167" s="5">
        <v>2.14</v>
      </c>
      <c r="P167" t="s">
        <v>60</v>
      </c>
      <c r="Q167" t="s">
        <v>58</v>
      </c>
    </row>
    <row r="168" spans="1:17" x14ac:dyDescent="0.3">
      <c r="A168">
        <v>167</v>
      </c>
      <c r="B168">
        <v>54.22</v>
      </c>
      <c r="C168" s="5">
        <v>6.3938618925831197</v>
      </c>
      <c r="D168" s="5">
        <v>36.189258312020456</v>
      </c>
      <c r="E168" s="5">
        <v>21.8</v>
      </c>
      <c r="F168" s="5">
        <v>2.0499999999999998</v>
      </c>
      <c r="G168" s="5">
        <v>0.34</v>
      </c>
      <c r="H168" s="5">
        <v>769</v>
      </c>
      <c r="I168" s="5">
        <v>1</v>
      </c>
      <c r="J168" s="5">
        <v>0</v>
      </c>
      <c r="K168" s="5">
        <v>14.96</v>
      </c>
      <c r="L168" s="5">
        <v>33.61</v>
      </c>
      <c r="M168" s="5">
        <v>38.18</v>
      </c>
      <c r="N168" s="5">
        <v>8.4700000000000006</v>
      </c>
      <c r="O168" s="5">
        <v>2.35</v>
      </c>
      <c r="P168" t="s">
        <v>60</v>
      </c>
      <c r="Q168" t="s">
        <v>58</v>
      </c>
    </row>
    <row r="169" spans="1:17" x14ac:dyDescent="0.3">
      <c r="A169">
        <v>168</v>
      </c>
      <c r="B169">
        <v>54.22</v>
      </c>
      <c r="C169" s="5">
        <v>6.3938618925831197</v>
      </c>
      <c r="D169" s="5">
        <v>36.189258312020456</v>
      </c>
      <c r="E169" s="5">
        <v>21.8</v>
      </c>
      <c r="F169" s="5">
        <v>2.0499999999999998</v>
      </c>
      <c r="G169" s="5">
        <v>0.38</v>
      </c>
      <c r="H169" s="5">
        <v>779.5</v>
      </c>
      <c r="I169" s="5">
        <v>1</v>
      </c>
      <c r="J169" s="5">
        <v>0</v>
      </c>
      <c r="K169" s="5">
        <v>15.97</v>
      </c>
      <c r="L169" s="5">
        <v>33.21</v>
      </c>
      <c r="M169" s="5">
        <v>38.49</v>
      </c>
      <c r="N169" s="5">
        <v>8.61</v>
      </c>
      <c r="O169" s="5">
        <v>2.66</v>
      </c>
      <c r="P169" t="s">
        <v>60</v>
      </c>
      <c r="Q169" t="s">
        <v>58</v>
      </c>
    </row>
    <row r="170" spans="1:17" x14ac:dyDescent="0.3">
      <c r="A170">
        <v>169</v>
      </c>
      <c r="B170">
        <v>54.22</v>
      </c>
      <c r="C170" s="5">
        <v>6.3938618925831197</v>
      </c>
      <c r="D170" s="5">
        <v>36.189258312020456</v>
      </c>
      <c r="E170" s="5">
        <v>21.8</v>
      </c>
      <c r="F170" s="5">
        <v>2.0499999999999998</v>
      </c>
      <c r="G170" s="5">
        <v>0.4</v>
      </c>
      <c r="H170" s="5">
        <v>791.8</v>
      </c>
      <c r="I170" s="5">
        <v>1</v>
      </c>
      <c r="J170" s="5">
        <v>0</v>
      </c>
      <c r="K170" s="5">
        <v>15.45</v>
      </c>
      <c r="L170" s="5">
        <v>33.08</v>
      </c>
      <c r="M170" s="5">
        <v>38.82</v>
      </c>
      <c r="N170" s="5">
        <v>8.64</v>
      </c>
      <c r="O170" s="5">
        <v>2.77</v>
      </c>
      <c r="P170" t="s">
        <v>60</v>
      </c>
      <c r="Q170" t="s">
        <v>58</v>
      </c>
    </row>
    <row r="171" spans="1:17" x14ac:dyDescent="0.3">
      <c r="A171">
        <v>170</v>
      </c>
      <c r="B171">
        <v>54.22</v>
      </c>
      <c r="C171" s="5">
        <v>6.3938618925831197</v>
      </c>
      <c r="D171" s="5">
        <v>36.189258312020456</v>
      </c>
      <c r="E171" s="5">
        <v>21.8</v>
      </c>
      <c r="F171" s="5">
        <v>2.0499999999999998</v>
      </c>
      <c r="G171" s="5">
        <v>0.45</v>
      </c>
      <c r="H171" s="5">
        <v>829.1</v>
      </c>
      <c r="I171" s="5">
        <v>1</v>
      </c>
      <c r="J171" s="5">
        <v>0</v>
      </c>
      <c r="K171" s="5">
        <v>14.39</v>
      </c>
      <c r="L171" s="5">
        <v>33.28</v>
      </c>
      <c r="M171" s="5">
        <v>39.92</v>
      </c>
      <c r="N171" s="5">
        <v>8.69</v>
      </c>
      <c r="O171" s="5">
        <v>3</v>
      </c>
      <c r="P171" t="s">
        <v>60</v>
      </c>
      <c r="Q171" t="s">
        <v>58</v>
      </c>
    </row>
    <row r="172" spans="1:17" x14ac:dyDescent="0.3">
      <c r="A172">
        <v>171</v>
      </c>
      <c r="B172">
        <v>46</v>
      </c>
      <c r="C172" s="5">
        <v>6</v>
      </c>
      <c r="D172" s="5">
        <v>37.299999999999997</v>
      </c>
      <c r="E172" s="5">
        <v>8.1</v>
      </c>
      <c r="F172" s="5">
        <v>9.6300000000000008</v>
      </c>
      <c r="G172" s="5">
        <v>0.3</v>
      </c>
      <c r="H172" s="5">
        <v>750</v>
      </c>
      <c r="I172" s="5">
        <v>3</v>
      </c>
      <c r="J172" s="5">
        <v>0</v>
      </c>
      <c r="K172" s="5">
        <v>26.8</v>
      </c>
      <c r="L172" s="5">
        <v>29.4</v>
      </c>
      <c r="M172" s="5">
        <v>35.1</v>
      </c>
      <c r="N172" s="5">
        <v>8.6</v>
      </c>
      <c r="O172" s="5">
        <v>2.3795000000000002</v>
      </c>
      <c r="P172" t="s">
        <v>65</v>
      </c>
      <c r="Q172" t="s">
        <v>66</v>
      </c>
    </row>
    <row r="173" spans="1:17" x14ac:dyDescent="0.3">
      <c r="A173">
        <v>172</v>
      </c>
      <c r="B173">
        <v>46</v>
      </c>
      <c r="C173" s="5">
        <v>6</v>
      </c>
      <c r="D173" s="5">
        <v>37.299999999999997</v>
      </c>
      <c r="E173" s="5">
        <v>8.1</v>
      </c>
      <c r="F173" s="5">
        <v>9.6300000000000008</v>
      </c>
      <c r="G173" s="5">
        <v>0.3</v>
      </c>
      <c r="H173" s="5">
        <v>800</v>
      </c>
      <c r="I173" s="5">
        <v>3</v>
      </c>
      <c r="J173" s="5">
        <v>0</v>
      </c>
      <c r="K173" s="5">
        <v>28.6</v>
      </c>
      <c r="L173" s="5">
        <v>33.1</v>
      </c>
      <c r="M173" s="5">
        <v>29.9</v>
      </c>
      <c r="N173" s="5">
        <v>8.1999999999999993</v>
      </c>
      <c r="O173" s="5">
        <v>2.4979</v>
      </c>
      <c r="P173" t="s">
        <v>65</v>
      </c>
      <c r="Q173" t="s">
        <v>66</v>
      </c>
    </row>
    <row r="174" spans="1:17" x14ac:dyDescent="0.3">
      <c r="A174">
        <v>173</v>
      </c>
      <c r="B174">
        <v>46</v>
      </c>
      <c r="C174" s="5">
        <v>6</v>
      </c>
      <c r="D174" s="5">
        <v>37.299999999999997</v>
      </c>
      <c r="E174" s="5">
        <v>8.1</v>
      </c>
      <c r="F174" s="5">
        <v>9.6300000000000008</v>
      </c>
      <c r="G174" s="5">
        <v>0.3</v>
      </c>
      <c r="H174" s="5">
        <v>750</v>
      </c>
      <c r="I174" s="5">
        <v>1</v>
      </c>
      <c r="J174" s="5">
        <v>0</v>
      </c>
      <c r="K174" s="5">
        <v>25</v>
      </c>
      <c r="L174" s="5">
        <v>31.4</v>
      </c>
      <c r="M174" s="5">
        <v>34.200000000000003</v>
      </c>
      <c r="N174" s="5">
        <v>9.4</v>
      </c>
      <c r="O174" s="5">
        <v>2.2179000000000002</v>
      </c>
      <c r="P174" t="s">
        <v>65</v>
      </c>
      <c r="Q174" t="s">
        <v>66</v>
      </c>
    </row>
    <row r="175" spans="1:17" x14ac:dyDescent="0.3">
      <c r="A175">
        <v>174</v>
      </c>
      <c r="B175">
        <v>46</v>
      </c>
      <c r="C175" s="5">
        <v>6</v>
      </c>
      <c r="D175" s="5">
        <v>37.299999999999997</v>
      </c>
      <c r="E175" s="5">
        <v>8.1</v>
      </c>
      <c r="F175" s="5">
        <v>9.6300000000000008</v>
      </c>
      <c r="G175" s="5">
        <v>0.3</v>
      </c>
      <c r="H175" s="5">
        <v>800</v>
      </c>
      <c r="I175" s="5">
        <v>1</v>
      </c>
      <c r="J175" s="5">
        <v>0</v>
      </c>
      <c r="K175" s="5">
        <v>27.1</v>
      </c>
      <c r="L175" s="5">
        <v>34</v>
      </c>
      <c r="M175" s="5">
        <v>29.8</v>
      </c>
      <c r="N175" s="5">
        <v>8.4</v>
      </c>
      <c r="O175" s="5">
        <v>2.2947000000000002</v>
      </c>
      <c r="P175" t="s">
        <v>65</v>
      </c>
      <c r="Q175" t="s">
        <v>66</v>
      </c>
    </row>
    <row r="176" spans="1:17" x14ac:dyDescent="0.3">
      <c r="A176">
        <v>175</v>
      </c>
      <c r="B176">
        <v>48.6</v>
      </c>
      <c r="C176" s="5">
        <v>6.63</v>
      </c>
      <c r="D176" s="5">
        <v>39.299999999999997</v>
      </c>
      <c r="E176" s="5">
        <v>8.1999999999999993</v>
      </c>
      <c r="F176" s="5">
        <v>2.39</v>
      </c>
      <c r="G176" s="5">
        <v>0.3</v>
      </c>
      <c r="H176" s="5">
        <v>750</v>
      </c>
      <c r="I176" s="5">
        <v>3</v>
      </c>
      <c r="J176" s="5">
        <v>0</v>
      </c>
      <c r="K176" s="5">
        <v>23.6</v>
      </c>
      <c r="L176" s="5">
        <v>29.5</v>
      </c>
      <c r="M176" s="5">
        <v>34.799999999999997</v>
      </c>
      <c r="N176" s="5">
        <v>8.5</v>
      </c>
      <c r="O176" s="5">
        <v>2.5286</v>
      </c>
      <c r="P176" t="s">
        <v>67</v>
      </c>
      <c r="Q176" t="s">
        <v>66</v>
      </c>
    </row>
    <row r="177" spans="1:17" x14ac:dyDescent="0.3">
      <c r="A177">
        <v>176</v>
      </c>
      <c r="B177">
        <v>48.6</v>
      </c>
      <c r="C177" s="5">
        <v>6.63</v>
      </c>
      <c r="D177" s="5">
        <v>39.299999999999997</v>
      </c>
      <c r="E177" s="5">
        <v>8.1999999999999993</v>
      </c>
      <c r="F177" s="5">
        <v>2.39</v>
      </c>
      <c r="G177" s="5">
        <v>0.3</v>
      </c>
      <c r="H177" s="5">
        <v>800</v>
      </c>
      <c r="I177" s="5">
        <v>3</v>
      </c>
      <c r="J177" s="5">
        <v>0</v>
      </c>
      <c r="K177" s="5">
        <v>25.5</v>
      </c>
      <c r="L177" s="5">
        <v>35.1</v>
      </c>
      <c r="M177" s="5">
        <v>30.3</v>
      </c>
      <c r="N177" s="5">
        <v>7.8</v>
      </c>
      <c r="O177" s="5">
        <v>2.6253000000000002</v>
      </c>
      <c r="P177" t="s">
        <v>67</v>
      </c>
      <c r="Q177" t="s">
        <v>66</v>
      </c>
    </row>
    <row r="178" spans="1:17" x14ac:dyDescent="0.3">
      <c r="A178">
        <v>177</v>
      </c>
      <c r="B178">
        <v>48.6</v>
      </c>
      <c r="C178" s="5">
        <v>6.63</v>
      </c>
      <c r="D178" s="5">
        <v>39.299999999999997</v>
      </c>
      <c r="E178" s="5">
        <v>8.1999999999999993</v>
      </c>
      <c r="F178" s="5">
        <v>2.39</v>
      </c>
      <c r="G178" s="5">
        <v>0.3</v>
      </c>
      <c r="H178" s="5">
        <v>750</v>
      </c>
      <c r="I178" s="5">
        <v>1</v>
      </c>
      <c r="J178" s="5">
        <v>0</v>
      </c>
      <c r="K178" s="5">
        <v>21.8</v>
      </c>
      <c r="L178" s="5">
        <v>31.7</v>
      </c>
      <c r="M178" s="5">
        <v>36</v>
      </c>
      <c r="N178" s="5">
        <v>7.8</v>
      </c>
      <c r="O178" s="5">
        <v>2.2589999999999999</v>
      </c>
      <c r="P178" t="s">
        <v>67</v>
      </c>
      <c r="Q178" t="s">
        <v>66</v>
      </c>
    </row>
    <row r="179" spans="1:17" x14ac:dyDescent="0.3">
      <c r="A179">
        <v>178</v>
      </c>
      <c r="B179">
        <v>48.6</v>
      </c>
      <c r="C179" s="5">
        <v>6.63</v>
      </c>
      <c r="D179" s="5">
        <v>39.299999999999997</v>
      </c>
      <c r="E179" s="5">
        <v>8.1999999999999993</v>
      </c>
      <c r="F179" s="5">
        <v>2.39</v>
      </c>
      <c r="G179" s="5">
        <v>0.3</v>
      </c>
      <c r="H179" s="5">
        <v>800</v>
      </c>
      <c r="I179" s="5">
        <v>1</v>
      </c>
      <c r="J179" s="5">
        <v>0</v>
      </c>
      <c r="K179" s="5">
        <v>23.4</v>
      </c>
      <c r="L179" s="5">
        <v>33.700000000000003</v>
      </c>
      <c r="M179" s="5">
        <v>35.200000000000003</v>
      </c>
      <c r="N179" s="5">
        <v>7.7</v>
      </c>
      <c r="O179" s="5">
        <v>2.2793999999999999</v>
      </c>
      <c r="P179" t="s">
        <v>67</v>
      </c>
      <c r="Q179" t="s">
        <v>66</v>
      </c>
    </row>
    <row r="180" spans="1:17" x14ac:dyDescent="0.3">
      <c r="A180">
        <v>179</v>
      </c>
      <c r="B180">
        <v>42.8</v>
      </c>
      <c r="C180" s="5">
        <v>5.5</v>
      </c>
      <c r="D180" s="5">
        <f t="shared" ref="D180:D189" si="0">100-B180-C180-F180</f>
        <v>37.400000000000006</v>
      </c>
      <c r="E180" s="5">
        <v>9.6999999999999993</v>
      </c>
      <c r="F180" s="5">
        <v>14.3</v>
      </c>
      <c r="G180" s="5">
        <v>0.21</v>
      </c>
      <c r="H180" s="5">
        <v>700</v>
      </c>
      <c r="I180" s="5">
        <v>1</v>
      </c>
      <c r="J180" s="5">
        <v>0</v>
      </c>
      <c r="K180" s="5">
        <v>28.644897170007418</v>
      </c>
      <c r="L180" s="5">
        <v>26.894412762818792</v>
      </c>
      <c r="M180" s="5">
        <v>34.000192686914993</v>
      </c>
      <c r="N180" s="5">
        <v>5.468780311102428</v>
      </c>
      <c r="O180" s="5">
        <v>0.93136253937798108</v>
      </c>
      <c r="P180" t="s">
        <v>32</v>
      </c>
      <c r="Q180" t="s">
        <v>72</v>
      </c>
    </row>
    <row r="181" spans="1:17" x14ac:dyDescent="0.3">
      <c r="A181">
        <v>180</v>
      </c>
      <c r="B181">
        <v>42.8</v>
      </c>
      <c r="C181" s="5">
        <v>5.5</v>
      </c>
      <c r="D181" s="5">
        <f t="shared" si="0"/>
        <v>37.400000000000006</v>
      </c>
      <c r="E181" s="5">
        <v>9.6999999999999993</v>
      </c>
      <c r="F181" s="5">
        <v>14.3</v>
      </c>
      <c r="G181" s="5">
        <v>0.21</v>
      </c>
      <c r="H181" s="5">
        <v>725</v>
      </c>
      <c r="I181" s="5">
        <v>1</v>
      </c>
      <c r="J181" s="5">
        <v>0</v>
      </c>
      <c r="K181" s="5">
        <v>26.45347226752018</v>
      </c>
      <c r="L181" s="5">
        <v>21.835752841754228</v>
      </c>
      <c r="M181" s="5">
        <v>40.473240867219204</v>
      </c>
      <c r="N181" s="5">
        <v>5.8730138646414813</v>
      </c>
      <c r="O181" s="5">
        <v>1.1076266190509996</v>
      </c>
      <c r="P181" t="s">
        <v>32</v>
      </c>
      <c r="Q181" t="s">
        <v>73</v>
      </c>
    </row>
    <row r="182" spans="1:17" x14ac:dyDescent="0.3">
      <c r="A182">
        <v>181</v>
      </c>
      <c r="B182">
        <v>42.8</v>
      </c>
      <c r="C182" s="5">
        <v>5.5</v>
      </c>
      <c r="D182" s="5">
        <f t="shared" si="0"/>
        <v>37.400000000000006</v>
      </c>
      <c r="E182" s="5">
        <v>9.6999999999999993</v>
      </c>
      <c r="F182" s="5">
        <v>14.3</v>
      </c>
      <c r="G182" s="5">
        <v>0.17</v>
      </c>
      <c r="H182" s="5">
        <v>750</v>
      </c>
      <c r="I182" s="5">
        <v>1</v>
      </c>
      <c r="J182" s="5">
        <v>0</v>
      </c>
      <c r="K182" s="5">
        <v>28.378121620024885</v>
      </c>
      <c r="L182" s="5">
        <v>31.41682040374765</v>
      </c>
      <c r="M182" s="5">
        <v>28.684454476134736</v>
      </c>
      <c r="N182" s="5">
        <v>6.1828438018350935</v>
      </c>
      <c r="O182" s="5">
        <v>1.2205519645121334</v>
      </c>
      <c r="P182" t="s">
        <v>32</v>
      </c>
      <c r="Q182" t="s">
        <v>74</v>
      </c>
    </row>
    <row r="183" spans="1:17" x14ac:dyDescent="0.3">
      <c r="A183">
        <v>182</v>
      </c>
      <c r="B183">
        <v>42.8</v>
      </c>
      <c r="C183" s="5">
        <v>5.5</v>
      </c>
      <c r="D183" s="5">
        <f t="shared" si="0"/>
        <v>37.400000000000006</v>
      </c>
      <c r="E183" s="5">
        <v>9.6999999999999993</v>
      </c>
      <c r="F183" s="5">
        <v>14.3</v>
      </c>
      <c r="G183" s="5">
        <v>0.21</v>
      </c>
      <c r="H183" s="5">
        <v>750</v>
      </c>
      <c r="I183" s="5">
        <v>1</v>
      </c>
      <c r="J183" s="5">
        <v>0</v>
      </c>
      <c r="K183" s="5">
        <v>27.296441556208023</v>
      </c>
      <c r="L183" s="5">
        <v>30.645959216666128</v>
      </c>
      <c r="M183" s="5">
        <v>31.181471238596579</v>
      </c>
      <c r="N183" s="5">
        <v>5.7094384475132234</v>
      </c>
      <c r="O183" s="5">
        <v>1.2468356401881693</v>
      </c>
      <c r="P183" t="s">
        <v>32</v>
      </c>
      <c r="Q183" t="s">
        <v>75</v>
      </c>
    </row>
    <row r="184" spans="1:17" x14ac:dyDescent="0.3">
      <c r="A184">
        <v>183</v>
      </c>
      <c r="B184">
        <v>46.85</v>
      </c>
      <c r="C184" s="5">
        <v>6.3</v>
      </c>
      <c r="D184" s="5">
        <f t="shared" si="0"/>
        <v>45.550000000000004</v>
      </c>
      <c r="E184" s="5">
        <v>9</v>
      </c>
      <c r="F184" s="5">
        <v>1.3</v>
      </c>
      <c r="G184" s="5">
        <v>0.18</v>
      </c>
      <c r="H184" s="5">
        <v>750</v>
      </c>
      <c r="I184" s="5">
        <v>1</v>
      </c>
      <c r="J184" s="5">
        <v>0</v>
      </c>
      <c r="K184" s="5">
        <v>17.786757717251525</v>
      </c>
      <c r="L184" s="5">
        <v>35.108686288061314</v>
      </c>
      <c r="M184" s="5">
        <v>30.586462122451653</v>
      </c>
      <c r="N184" s="5">
        <v>10.464994374208686</v>
      </c>
      <c r="O184" s="5">
        <v>0.85878904508543175</v>
      </c>
      <c r="P184" t="s">
        <v>76</v>
      </c>
      <c r="Q184" t="s">
        <v>77</v>
      </c>
    </row>
    <row r="185" spans="1:17" x14ac:dyDescent="0.3">
      <c r="A185">
        <v>184</v>
      </c>
      <c r="B185">
        <v>46.85</v>
      </c>
      <c r="C185" s="5">
        <v>6.3</v>
      </c>
      <c r="D185" s="5">
        <f t="shared" si="0"/>
        <v>45.550000000000004</v>
      </c>
      <c r="E185" s="5">
        <v>9</v>
      </c>
      <c r="F185" s="5">
        <v>1.3</v>
      </c>
      <c r="G185" s="5">
        <v>0.22</v>
      </c>
      <c r="H185" s="5">
        <v>750</v>
      </c>
      <c r="I185" s="5">
        <v>1</v>
      </c>
      <c r="J185" s="5">
        <v>0</v>
      </c>
      <c r="K185" s="5">
        <v>18.571393205592301</v>
      </c>
      <c r="L185" s="5">
        <v>33.306219283412851</v>
      </c>
      <c r="M185" s="5">
        <v>32.861351429887442</v>
      </c>
      <c r="N185" s="5">
        <v>9.706146897443853</v>
      </c>
      <c r="O185" s="5">
        <v>0.94753218976180809</v>
      </c>
      <c r="P185" t="s">
        <v>76</v>
      </c>
      <c r="Q185" t="s">
        <v>77</v>
      </c>
    </row>
    <row r="186" spans="1:17" x14ac:dyDescent="0.3">
      <c r="A186">
        <v>185</v>
      </c>
      <c r="B186">
        <v>46.85</v>
      </c>
      <c r="C186" s="5">
        <v>6.3</v>
      </c>
      <c r="D186" s="5">
        <f t="shared" si="0"/>
        <v>45.550000000000004</v>
      </c>
      <c r="E186" s="5">
        <v>9</v>
      </c>
      <c r="F186" s="5">
        <v>1.3</v>
      </c>
      <c r="G186" s="5">
        <v>0.27</v>
      </c>
      <c r="H186" s="5">
        <v>750</v>
      </c>
      <c r="I186" s="5">
        <v>1</v>
      </c>
      <c r="J186" s="5">
        <v>0</v>
      </c>
      <c r="K186" s="5">
        <v>15.762348784513728</v>
      </c>
      <c r="L186" s="5">
        <v>33.789485186665196</v>
      </c>
      <c r="M186" s="5">
        <v>35.490355013367243</v>
      </c>
      <c r="N186" s="5">
        <v>9.4550650397066587</v>
      </c>
      <c r="O186" s="5">
        <v>0.97575239537080982</v>
      </c>
      <c r="P186" t="s">
        <v>76</v>
      </c>
      <c r="Q186" t="s">
        <v>77</v>
      </c>
    </row>
    <row r="187" spans="1:17" x14ac:dyDescent="0.3">
      <c r="A187">
        <v>186</v>
      </c>
      <c r="B187" s="6">
        <v>46.76</v>
      </c>
      <c r="C187" s="7">
        <v>5.68</v>
      </c>
      <c r="D187" s="7">
        <f t="shared" si="0"/>
        <v>39.46</v>
      </c>
      <c r="E187" s="7">
        <v>9.94</v>
      </c>
      <c r="F187" s="7">
        <v>8.1</v>
      </c>
      <c r="G187" s="7">
        <v>0.17</v>
      </c>
      <c r="H187" s="7">
        <v>750</v>
      </c>
      <c r="I187" s="7">
        <v>1</v>
      </c>
      <c r="J187" s="7">
        <v>0</v>
      </c>
      <c r="K187" s="5">
        <v>19.001068797046035</v>
      </c>
      <c r="L187" s="5">
        <v>31.951085733864574</v>
      </c>
      <c r="M187" s="5">
        <v>32.782913875662935</v>
      </c>
      <c r="N187" s="5">
        <v>9.9336824778848758</v>
      </c>
      <c r="O187" s="5">
        <v>0.97178425842422012</v>
      </c>
      <c r="P187" t="s">
        <v>76</v>
      </c>
      <c r="Q187" t="s">
        <v>77</v>
      </c>
    </row>
    <row r="188" spans="1:17" x14ac:dyDescent="0.3">
      <c r="A188">
        <v>187</v>
      </c>
      <c r="B188" s="6">
        <v>46.76</v>
      </c>
      <c r="C188" s="7">
        <v>5.68</v>
      </c>
      <c r="D188" s="7">
        <f t="shared" si="0"/>
        <v>39.46</v>
      </c>
      <c r="E188" s="7">
        <v>9.94</v>
      </c>
      <c r="F188" s="7">
        <v>8.1</v>
      </c>
      <c r="G188" s="7">
        <v>0.21</v>
      </c>
      <c r="H188" s="7">
        <v>750</v>
      </c>
      <c r="I188" s="7">
        <v>1</v>
      </c>
      <c r="J188" s="7">
        <v>0</v>
      </c>
      <c r="K188" s="5">
        <v>21.798933521217162</v>
      </c>
      <c r="L188" s="5">
        <v>29.123555760549259</v>
      </c>
      <c r="M188" s="5">
        <v>34.426570975812993</v>
      </c>
      <c r="N188" s="5">
        <v>8.7784017496617768</v>
      </c>
      <c r="O188" s="5">
        <v>0.98298930074710433</v>
      </c>
      <c r="P188" t="s">
        <v>76</v>
      </c>
      <c r="Q188" t="s">
        <v>77</v>
      </c>
    </row>
    <row r="189" spans="1:17" x14ac:dyDescent="0.3">
      <c r="A189">
        <v>188</v>
      </c>
      <c r="B189" s="6">
        <v>46.76</v>
      </c>
      <c r="C189" s="7">
        <v>5.68</v>
      </c>
      <c r="D189" s="7">
        <f t="shared" si="0"/>
        <v>39.46</v>
      </c>
      <c r="E189" s="7">
        <v>9.94</v>
      </c>
      <c r="F189" s="7">
        <v>8.1</v>
      </c>
      <c r="G189" s="7">
        <v>0.25</v>
      </c>
      <c r="H189" s="7">
        <v>750</v>
      </c>
      <c r="I189" s="7">
        <v>1</v>
      </c>
      <c r="J189" s="7">
        <v>0</v>
      </c>
      <c r="K189" s="5">
        <v>18.030213845180633</v>
      </c>
      <c r="L189" s="5">
        <v>28.78932622192383</v>
      </c>
      <c r="M189" s="5">
        <v>38.610254729584184</v>
      </c>
      <c r="N189" s="5">
        <v>8.5340141409650645</v>
      </c>
      <c r="O189" s="5">
        <v>0.97381637052161218</v>
      </c>
      <c r="P189" t="s">
        <v>76</v>
      </c>
      <c r="Q189" t="s">
        <v>77</v>
      </c>
    </row>
    <row r="190" spans="1:17" x14ac:dyDescent="0.3">
      <c r="A190">
        <v>189</v>
      </c>
      <c r="B190">
        <v>53.833710000000004</v>
      </c>
      <c r="C190">
        <v>5.9211150000000004</v>
      </c>
      <c r="D190">
        <v>38.857934999999998</v>
      </c>
      <c r="E190">
        <v>5.28</v>
      </c>
      <c r="F190">
        <v>1.1499999999999999</v>
      </c>
      <c r="G190" s="7">
        <v>0</v>
      </c>
      <c r="H190" s="7">
        <v>850</v>
      </c>
      <c r="I190" s="7">
        <v>1</v>
      </c>
      <c r="J190">
        <v>1.2272727269999999</v>
      </c>
      <c r="K190">
        <v>48.324873096446701</v>
      </c>
      <c r="L190">
        <v>24.162436548223351</v>
      </c>
      <c r="M190">
        <v>21.421319796954315</v>
      </c>
      <c r="N190">
        <v>5.0761421319796955</v>
      </c>
      <c r="O190">
        <v>1.51</v>
      </c>
      <c r="P190" t="s">
        <v>78</v>
      </c>
      <c r="Q190" t="s">
        <v>79</v>
      </c>
    </row>
    <row r="191" spans="1:17" x14ac:dyDescent="0.3">
      <c r="A191">
        <v>190</v>
      </c>
      <c r="B191">
        <v>53.833710000000004</v>
      </c>
      <c r="C191">
        <v>5.9211150000000004</v>
      </c>
      <c r="D191">
        <v>38.857934999999998</v>
      </c>
      <c r="E191">
        <v>5.28</v>
      </c>
      <c r="F191">
        <v>1.1499999999999999</v>
      </c>
      <c r="G191">
        <v>7.0000000000000007E-2</v>
      </c>
      <c r="H191">
        <v>850</v>
      </c>
      <c r="I191">
        <v>1</v>
      </c>
      <c r="J191">
        <v>1.2272727269999999</v>
      </c>
      <c r="K191">
        <v>45.566037735849058</v>
      </c>
      <c r="L191">
        <v>23.915094339622641</v>
      </c>
      <c r="M191">
        <v>23.632075471698112</v>
      </c>
      <c r="N191">
        <v>5.0943396226415096</v>
      </c>
      <c r="O191">
        <v>1.49</v>
      </c>
      <c r="P191" t="s">
        <v>78</v>
      </c>
      <c r="Q191" t="s">
        <v>79</v>
      </c>
    </row>
    <row r="192" spans="1:17" x14ac:dyDescent="0.3">
      <c r="A192">
        <v>191</v>
      </c>
      <c r="B192">
        <v>53.833710000000004</v>
      </c>
      <c r="C192">
        <v>5.9211150000000004</v>
      </c>
      <c r="D192">
        <v>38.857934999999998</v>
      </c>
      <c r="E192">
        <v>5.28</v>
      </c>
      <c r="F192">
        <v>1.1499999999999999</v>
      </c>
      <c r="G192">
        <v>0.11</v>
      </c>
      <c r="H192">
        <v>850</v>
      </c>
      <c r="I192">
        <v>1</v>
      </c>
      <c r="J192">
        <v>1.2272727269999999</v>
      </c>
      <c r="K192">
        <v>45.141509433962263</v>
      </c>
      <c r="L192">
        <v>22.641509433962263</v>
      </c>
      <c r="M192">
        <v>26.037735849056602</v>
      </c>
      <c r="N192">
        <v>4.8113207547169807</v>
      </c>
      <c r="O192">
        <v>1.38</v>
      </c>
      <c r="P192" t="s">
        <v>78</v>
      </c>
      <c r="Q192" t="s">
        <v>79</v>
      </c>
    </row>
    <row r="193" spans="1:17" x14ac:dyDescent="0.3">
      <c r="A193">
        <v>192</v>
      </c>
      <c r="B193">
        <v>53.833710000000004</v>
      </c>
      <c r="C193">
        <v>5.9211150000000004</v>
      </c>
      <c r="D193">
        <v>38.857934999999998</v>
      </c>
      <c r="E193">
        <v>5.28</v>
      </c>
      <c r="F193">
        <v>1.1499999999999999</v>
      </c>
      <c r="G193">
        <v>0.15</v>
      </c>
      <c r="H193">
        <v>850</v>
      </c>
      <c r="I193">
        <v>1</v>
      </c>
      <c r="J193">
        <v>1.2272727269999999</v>
      </c>
      <c r="K193">
        <v>42.169811320754718</v>
      </c>
      <c r="L193">
        <v>24.90566037735849</v>
      </c>
      <c r="M193">
        <v>26.037735849056602</v>
      </c>
      <c r="N193">
        <v>5.2358490566037732</v>
      </c>
      <c r="O193">
        <v>1.49</v>
      </c>
      <c r="P193" t="s">
        <v>78</v>
      </c>
      <c r="Q193" t="s">
        <v>79</v>
      </c>
    </row>
    <row r="194" spans="1:17" x14ac:dyDescent="0.3">
      <c r="A194">
        <v>193</v>
      </c>
      <c r="B194">
        <v>53.833710000000004</v>
      </c>
      <c r="C194">
        <v>5.9211150000000004</v>
      </c>
      <c r="D194">
        <v>38.857934999999998</v>
      </c>
      <c r="E194">
        <v>5.28</v>
      </c>
      <c r="F194">
        <v>1.1499999999999999</v>
      </c>
      <c r="G194">
        <v>0.18</v>
      </c>
      <c r="H194">
        <v>850</v>
      </c>
      <c r="I194">
        <v>1</v>
      </c>
      <c r="J194">
        <v>1.2272727269999999</v>
      </c>
      <c r="K194">
        <v>39.764150943396224</v>
      </c>
      <c r="L194">
        <v>24.90566037735849</v>
      </c>
      <c r="M194">
        <v>28.443396226415093</v>
      </c>
      <c r="N194">
        <v>5.2358490566037732</v>
      </c>
      <c r="O194">
        <v>1.42</v>
      </c>
      <c r="P194" t="s">
        <v>78</v>
      </c>
      <c r="Q194" t="s">
        <v>79</v>
      </c>
    </row>
    <row r="195" spans="1:17" x14ac:dyDescent="0.3">
      <c r="A195">
        <v>194</v>
      </c>
      <c r="B195">
        <v>53.833710000000004</v>
      </c>
      <c r="C195">
        <v>5.9211150000000004</v>
      </c>
      <c r="D195">
        <v>38.857934999999998</v>
      </c>
      <c r="E195">
        <v>5.28</v>
      </c>
      <c r="F195">
        <v>1.1499999999999999</v>
      </c>
      <c r="G195">
        <v>0.22</v>
      </c>
      <c r="H195">
        <v>850</v>
      </c>
      <c r="I195">
        <v>1</v>
      </c>
      <c r="J195">
        <v>1.2272727269999999</v>
      </c>
      <c r="K195">
        <v>40.754716981132077</v>
      </c>
      <c r="L195">
        <v>25.471698113207548</v>
      </c>
      <c r="M195">
        <v>27.59433962264151</v>
      </c>
      <c r="N195">
        <v>4.6698113207547172</v>
      </c>
      <c r="O195">
        <v>1.57</v>
      </c>
      <c r="P195" t="s">
        <v>78</v>
      </c>
      <c r="Q195" t="s">
        <v>79</v>
      </c>
    </row>
    <row r="196" spans="1:17" x14ac:dyDescent="0.3">
      <c r="A196">
        <v>195</v>
      </c>
      <c r="B196">
        <v>53.833710000000004</v>
      </c>
      <c r="C196">
        <v>5.9211150000000004</v>
      </c>
      <c r="D196">
        <v>38.857934999999998</v>
      </c>
      <c r="E196">
        <v>5.28</v>
      </c>
      <c r="F196">
        <v>1.1499999999999999</v>
      </c>
      <c r="G196">
        <v>7.0000000000000007E-2</v>
      </c>
      <c r="H196">
        <v>800</v>
      </c>
      <c r="I196">
        <v>1</v>
      </c>
      <c r="J196">
        <v>1.2272727269999999</v>
      </c>
      <c r="K196">
        <v>40.570175438596486</v>
      </c>
      <c r="L196">
        <v>24.342105263157894</v>
      </c>
      <c r="M196">
        <v>27.083333333333332</v>
      </c>
      <c r="N196">
        <v>6.0307017543859649</v>
      </c>
      <c r="O196">
        <v>1.05</v>
      </c>
      <c r="P196" t="s">
        <v>78</v>
      </c>
      <c r="Q196" t="s">
        <v>79</v>
      </c>
    </row>
    <row r="197" spans="1:17" x14ac:dyDescent="0.3">
      <c r="A197">
        <v>196</v>
      </c>
      <c r="B197">
        <v>53.833710000000004</v>
      </c>
      <c r="C197">
        <v>5.9211150000000004</v>
      </c>
      <c r="D197">
        <v>38.857934999999998</v>
      </c>
      <c r="E197">
        <v>5.28</v>
      </c>
      <c r="F197">
        <v>1.1499999999999999</v>
      </c>
      <c r="G197">
        <v>7.0000000000000007E-2</v>
      </c>
      <c r="H197">
        <v>950</v>
      </c>
      <c r="I197">
        <v>1</v>
      </c>
      <c r="J197">
        <v>1.2272727269999999</v>
      </c>
      <c r="K197">
        <v>46.600877192982452</v>
      </c>
      <c r="L197">
        <v>23.903508771929822</v>
      </c>
      <c r="M197">
        <v>23.684210526315788</v>
      </c>
      <c r="N197">
        <v>4.6052631578947363</v>
      </c>
      <c r="O197">
        <v>1.55</v>
      </c>
      <c r="P197" t="s">
        <v>78</v>
      </c>
      <c r="Q197" t="s">
        <v>79</v>
      </c>
    </row>
    <row r="198" spans="1:17" x14ac:dyDescent="0.3">
      <c r="A198">
        <v>197</v>
      </c>
      <c r="B198">
        <v>53.833710000000004</v>
      </c>
      <c r="C198">
        <v>5.9211150000000004</v>
      </c>
      <c r="D198">
        <v>38.857934999999998</v>
      </c>
      <c r="E198">
        <v>5.28</v>
      </c>
      <c r="F198">
        <v>1.1499999999999999</v>
      </c>
      <c r="G198">
        <v>0</v>
      </c>
      <c r="H198">
        <v>800</v>
      </c>
      <c r="I198">
        <v>1</v>
      </c>
      <c r="J198">
        <v>1.2272727269999999</v>
      </c>
      <c r="K198">
        <v>42.903930131004365</v>
      </c>
      <c r="L198">
        <v>26.091703056768559</v>
      </c>
      <c r="M198">
        <v>22.270742358078603</v>
      </c>
      <c r="N198">
        <v>6.9868995633187776</v>
      </c>
      <c r="O198">
        <v>1.03</v>
      </c>
      <c r="P198" t="s">
        <v>78</v>
      </c>
      <c r="Q198" t="s">
        <v>79</v>
      </c>
    </row>
    <row r="199" spans="1:17" x14ac:dyDescent="0.3">
      <c r="A199">
        <v>198</v>
      </c>
      <c r="B199">
        <v>53.833710000000004</v>
      </c>
      <c r="C199">
        <v>5.9211150000000004</v>
      </c>
      <c r="D199">
        <v>38.857934999999998</v>
      </c>
      <c r="E199">
        <v>5.28</v>
      </c>
      <c r="F199">
        <v>1.1499999999999999</v>
      </c>
      <c r="G199">
        <v>0</v>
      </c>
      <c r="H199">
        <v>900</v>
      </c>
      <c r="I199">
        <v>1</v>
      </c>
      <c r="J199">
        <v>1.2272727269999999</v>
      </c>
      <c r="K199">
        <v>49.017467248908297</v>
      </c>
      <c r="L199">
        <v>24.563318777292576</v>
      </c>
      <c r="M199">
        <v>20.305676855895197</v>
      </c>
      <c r="N199">
        <v>4.6943231441048034</v>
      </c>
      <c r="O199">
        <v>1.56</v>
      </c>
      <c r="P199" t="s">
        <v>78</v>
      </c>
      <c r="Q199" t="s">
        <v>79</v>
      </c>
    </row>
    <row r="200" spans="1:17" x14ac:dyDescent="0.3">
      <c r="A200">
        <v>199</v>
      </c>
      <c r="B200">
        <f>40.6*100/(100-11.89)</f>
        <v>46.078765179888777</v>
      </c>
      <c r="C200">
        <f>5.61*100/(100-11.89)</f>
        <v>6.3670411985018731</v>
      </c>
      <c r="D200">
        <f>39.88*100/(100-11.89)</f>
        <v>45.261604812166617</v>
      </c>
      <c r="E200">
        <v>11.89</v>
      </c>
      <c r="F200">
        <f>1.56*100/(100-11.89)</f>
        <v>1.7705141300646918</v>
      </c>
      <c r="G200">
        <v>0</v>
      </c>
      <c r="H200">
        <v>720</v>
      </c>
      <c r="I200">
        <v>1</v>
      </c>
      <c r="J200">
        <v>1.2</v>
      </c>
      <c r="K200">
        <v>71.570881226053629</v>
      </c>
      <c r="L200">
        <v>9.0421455938697317</v>
      </c>
      <c r="M200">
        <v>7.3563218390804597</v>
      </c>
      <c r="N200">
        <v>11.494252873563218</v>
      </c>
      <c r="O200">
        <v>0.89495798319327724</v>
      </c>
      <c r="P200" t="s">
        <v>82</v>
      </c>
      <c r="Q200" t="s">
        <v>83</v>
      </c>
    </row>
    <row r="201" spans="1:17" x14ac:dyDescent="0.3">
      <c r="A201">
        <v>200</v>
      </c>
      <c r="B201">
        <f t="shared" ref="B201:B204" si="1">40.6*100/(100-11.89)</f>
        <v>46.078765179888777</v>
      </c>
      <c r="C201">
        <f t="shared" ref="C201:C204" si="2">5.61*100/(100-11.89)</f>
        <v>6.3670411985018731</v>
      </c>
      <c r="D201">
        <f t="shared" ref="D201:D204" si="3">39.88*100/(100-11.89)</f>
        <v>45.261604812166617</v>
      </c>
      <c r="E201">
        <v>11.89</v>
      </c>
      <c r="F201">
        <f t="shared" ref="F201:F204" si="4">1.56*100/(100-11.89)</f>
        <v>1.7705141300646918</v>
      </c>
      <c r="G201">
        <v>0</v>
      </c>
      <c r="H201">
        <v>770</v>
      </c>
      <c r="I201">
        <v>1</v>
      </c>
      <c r="J201">
        <v>1.2</v>
      </c>
      <c r="K201">
        <v>63.90804597701149</v>
      </c>
      <c r="L201">
        <v>12.720306513409961</v>
      </c>
      <c r="M201">
        <v>13.639846743295019</v>
      </c>
      <c r="N201">
        <v>8.7356321839080451</v>
      </c>
      <c r="O201">
        <v>1.046218487394958</v>
      </c>
      <c r="P201" t="s">
        <v>82</v>
      </c>
      <c r="Q201" t="s">
        <v>83</v>
      </c>
    </row>
    <row r="202" spans="1:17" x14ac:dyDescent="0.3">
      <c r="A202">
        <v>201</v>
      </c>
      <c r="B202">
        <f t="shared" si="1"/>
        <v>46.078765179888777</v>
      </c>
      <c r="C202">
        <f t="shared" si="2"/>
        <v>6.3670411985018731</v>
      </c>
      <c r="D202">
        <f t="shared" si="3"/>
        <v>45.261604812166617</v>
      </c>
      <c r="E202">
        <v>11.89</v>
      </c>
      <c r="F202">
        <f t="shared" si="4"/>
        <v>1.7705141300646918</v>
      </c>
      <c r="G202">
        <v>0</v>
      </c>
      <c r="H202">
        <v>820</v>
      </c>
      <c r="I202">
        <v>1</v>
      </c>
      <c r="J202">
        <v>1.2</v>
      </c>
      <c r="K202">
        <v>59.923371647509576</v>
      </c>
      <c r="L202">
        <v>15.478927203065133</v>
      </c>
      <c r="M202">
        <v>16.704980842911876</v>
      </c>
      <c r="N202">
        <v>7.8160919540229878</v>
      </c>
      <c r="O202">
        <v>1.3445378151260503</v>
      </c>
      <c r="P202" t="s">
        <v>82</v>
      </c>
      <c r="Q202" t="s">
        <v>83</v>
      </c>
    </row>
    <row r="203" spans="1:17" x14ac:dyDescent="0.3">
      <c r="A203">
        <v>202</v>
      </c>
      <c r="B203">
        <f t="shared" si="1"/>
        <v>46.078765179888777</v>
      </c>
      <c r="C203">
        <f t="shared" si="2"/>
        <v>6.3670411985018731</v>
      </c>
      <c r="D203">
        <f t="shared" si="3"/>
        <v>45.261604812166617</v>
      </c>
      <c r="E203">
        <v>11.89</v>
      </c>
      <c r="F203">
        <f t="shared" si="4"/>
        <v>1.7705141300646918</v>
      </c>
      <c r="G203">
        <v>0</v>
      </c>
      <c r="H203">
        <v>870</v>
      </c>
      <c r="I203">
        <v>1</v>
      </c>
      <c r="J203">
        <v>1.2</v>
      </c>
      <c r="K203">
        <v>56.398467432950184</v>
      </c>
      <c r="L203">
        <v>20.383141762452105</v>
      </c>
      <c r="M203">
        <v>14.865900383141762</v>
      </c>
      <c r="N203">
        <v>8.275862068965516</v>
      </c>
      <c r="O203">
        <v>1.5420168067226889</v>
      </c>
      <c r="P203" t="s">
        <v>82</v>
      </c>
      <c r="Q203" t="s">
        <v>83</v>
      </c>
    </row>
    <row r="204" spans="1:17" x14ac:dyDescent="0.3">
      <c r="A204">
        <v>203</v>
      </c>
      <c r="B204">
        <f t="shared" si="1"/>
        <v>46.078765179888777</v>
      </c>
      <c r="C204">
        <f t="shared" si="2"/>
        <v>6.3670411985018731</v>
      </c>
      <c r="D204">
        <f t="shared" si="3"/>
        <v>45.261604812166617</v>
      </c>
      <c r="E204">
        <v>11.89</v>
      </c>
      <c r="F204">
        <f t="shared" si="4"/>
        <v>1.7705141300646918</v>
      </c>
      <c r="G204">
        <v>0</v>
      </c>
      <c r="H204">
        <v>920</v>
      </c>
      <c r="I204">
        <v>1</v>
      </c>
      <c r="J204">
        <v>1.2</v>
      </c>
      <c r="K204">
        <v>52.567049808429118</v>
      </c>
      <c r="L204">
        <v>24.674329501915707</v>
      </c>
      <c r="M204">
        <v>13.793103448275861</v>
      </c>
      <c r="N204">
        <v>8.1226053639846736</v>
      </c>
      <c r="O204">
        <v>1.7142857142857142</v>
      </c>
      <c r="P204" t="s">
        <v>82</v>
      </c>
      <c r="Q204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full data</vt:lpstr>
      <vt:lpstr>data of %</vt:lpstr>
      <vt:lpstr>data of 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子杰 罗</cp:lastModifiedBy>
  <dcterms:created xsi:type="dcterms:W3CDTF">2015-06-05T18:19:34Z</dcterms:created>
  <dcterms:modified xsi:type="dcterms:W3CDTF">2026-05-15T03:09:48Z</dcterms:modified>
</cp:coreProperties>
</file>